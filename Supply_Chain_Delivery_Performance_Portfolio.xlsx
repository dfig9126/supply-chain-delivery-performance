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5b5f9aba4e44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fe1ee45f31a4ec3"/>
    <x:sheet xmlns:r="http://schemas.openxmlformats.org/officeDocument/2006/relationships" name="Dashboard_Data" sheetId="2" r:id="Rab18ba16904a4c4f"/>
    <x:sheet xmlns:r="http://schemas.openxmlformats.org/officeDocument/2006/relationships" name="Project_Documentation" sheetId="3" r:id="R3c4a57498d664b44"/>
    <x:sheet xmlns:r="http://schemas.openxmlformats.org/officeDocument/2006/relationships" name="Supporting_Analysis" sheetId="4" r:id="R7376bdba4d4449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+0.00;-0.00;0.00"/>
    <x:numFmt numFmtId="202" formatCode="#,##0"/>
    <x:numFmt numFmtId="203" formatCode="mmm-yy"/>
    <x:numFmt numFmtId="204" formatCode="0.0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666666"/>
      <x:name val="Carlito"/>
    </x:font>
    <x:font>
      <x:b/>
      <x:sz val="11"/>
      <x:color rgb="FF17365D"/>
      <x:name val="Carlito"/>
    </x:font>
    <x:font>
      <x:b/>
      <x:sz val="18"/>
      <x:color rgb="FF17365D"/>
      <x:name val="Carlito"/>
    </x:font>
    <x:font>
      <x:sz val="10"/>
      <x:color rgb="FF222222"/>
      <x:name val="Carlito"/>
    </x:font>
    <x:font>
      <x:i/>
      <x:sz val="9"/>
      <x:color rgb="FF66666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6F8FB"/>
      </x:patternFill>
    </x:fill>
    <x:fill>
      <x:patternFill patternType="solid">
        <x:fgColor rgb="FFEAF2F8"/>
      </x:patternFill>
    </x:fill>
  </x:fills>
  <x:borders count="24">
    <x:border/>
    <x:border/>
    <x:border>
      <x:left style="thin">
        <x:color rgb="FFD9E1F2"/>
      </x:left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top style="thin">
        <x:color rgb="FFD9E1F2"/>
      </x:top>
    </x:border>
    <x:border>
      <x:bottom style="thin">
        <x:color rgb="FFD9E1F2"/>
      </x:bottom>
    </x:border>
    <x:border>
      <x:top style="thin">
        <x:color rgb="FFD9E1F2"/>
      </x:top>
    </x:border>
    <x:border>
      <x:bottom style="thin">
        <x:color rgb="FFD9E1F2"/>
      </x:bottom>
    </x:border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3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3" fillId="0" borderId="2" xfId="0" applyNumberFormat="1" applyFont="1" applyFill="1" applyBorder="1"/>
    <x:xf numFmtId="0" fontId="3" fillId="0" borderId="4" xfId="0" applyNumberFormat="1" applyFont="1" applyFill="1" applyBorder="1"/>
    <x:xf numFmtId="0" fontId="3" fillId="0" borderId="6" xfId="0" applyNumberFormat="1" applyFont="1" applyFill="1" applyBorder="1"/>
    <x:xf numFmtId="0" fontId="3" fillId="0" borderId="8" xfId="0" applyNumberFormat="1" applyFont="1" applyFill="1" applyBorder="1"/>
    <x:xf numFmtId="0" fontId="3" fillId="0" borderId="10" xfId="0" applyNumberFormat="1" applyFont="1" applyFill="1" applyBorder="1"/>
    <x:xf numFmtId="0" fontId="3" fillId="0" borderId="12" xfId="0" applyNumberFormat="1" applyFont="1" applyFill="1" applyBorder="1"/>
    <x:xf numFmtId="200" fontId="0" fillId="0" borderId="5" xfId="0" applyNumberFormat="1" applyFont="1" applyFill="1" applyBorder="1"/>
    <x:xf numFmtId="200" fontId="0" fillId="0" borderId="11" xfId="0" applyNumberFormat="1" applyFont="1" applyFill="1" applyBorder="1"/>
    <x:xf numFmtId="201" fontId="0" fillId="0" borderId="7" xfId="0" applyNumberFormat="1" applyFont="1" applyFill="1" applyBorder="1"/>
    <x:xf numFmtId="201" fontId="0" fillId="0" borderId="13" xfId="0" applyNumberFormat="1" applyFont="1" applyFill="1" applyBorder="1"/>
    <x:xf numFmtId="202" fontId="0" fillId="0" borderId="3" xfId="0" applyNumberFormat="1" applyFont="1" applyFill="1" applyBorder="1"/>
    <x:xf numFmtId="202" fontId="0" fillId="0" borderId="5" xfId="0" applyNumberFormat="1" applyFont="1" applyFill="1" applyBorder="1"/>
    <x:xf numFmtId="202" fontId="0" fillId="0" borderId="9" xfId="0" applyNumberFormat="1" applyFont="1" applyFill="1" applyBorder="1"/>
    <x:xf numFmtId="202" fontId="0" fillId="0" borderId="11" xfId="0" applyNumberFormat="1" applyFont="1" applyFill="1" applyBorder="1"/>
    <x:xf numFmtId="0" fontId="0" fillId="0" borderId="14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2" fontId="0" fillId="0" borderId="14" xfId="0" applyNumberFormat="1" applyFont="1" applyFill="1" applyBorder="1"/>
    <x:xf numFmtId="202" fontId="0" fillId="0" borderId="0" xfId="0" applyNumberFormat="1" applyFont="1" applyFill="1" applyBorder="1"/>
    <x:xf numFmtId="202" fontId="0" fillId="0" borderId="15" xfId="0" applyNumberFormat="1" applyFont="1" applyFill="1" applyBorder="1"/>
    <x:xf numFmtId="202" fontId="0" fillId="0" borderId="16" xfId="0" applyNumberFormat="1" applyFont="1" applyFill="1" applyBorder="1"/>
    <x:xf numFmtId="202" fontId="0" fillId="0" borderId="1" xfId="0" applyNumberFormat="1" applyFont="1" applyFill="1" applyBorder="1"/>
    <x:xf numFmtId="202" fontId="0" fillId="0" borderId="17" xfId="0" applyNumberFormat="1" applyFont="1" applyFill="1" applyBorder="1"/>
    <x:xf numFmtId="200" fontId="0" fillId="0" borderId="14" xfId="0" applyNumberFormat="1" applyFont="1" applyFill="1" applyBorder="1"/>
    <x:xf numFmtId="200" fontId="0" fillId="0" borderId="0" xfId="0" applyNumberFormat="1" applyFont="1" applyFill="1" applyBorder="1"/>
    <x:xf numFmtId="200" fontId="0" fillId="0" borderId="15" xfId="0" applyNumberFormat="1" applyFont="1" applyFill="1" applyBorder="1"/>
    <x:xf numFmtId="200" fontId="0" fillId="0" borderId="16" xfId="0" applyNumberFormat="1" applyFont="1" applyFill="1" applyBorder="1"/>
    <x:xf numFmtId="200" fontId="0" fillId="0" borderId="1" xfId="0" applyNumberFormat="1" applyFont="1" applyFill="1" applyBorder="1"/>
    <x:xf numFmtId="200" fontId="0" fillId="0" borderId="17" xfId="0" applyNumberFormat="1" applyFont="1" applyFill="1" applyBorder="1"/>
    <x:xf numFmtId="201" fontId="0" fillId="0" borderId="3" xfId="0" applyNumberFormat="1" applyFont="1" applyFill="1" applyBorder="1"/>
    <x:xf numFmtId="201" fontId="0" fillId="0" borderId="5" xfId="0" applyNumberFormat="1" applyFont="1" applyFill="1" applyBorder="1"/>
    <x:xf numFmtId="201" fontId="0" fillId="0" borderId="9" xfId="0" applyNumberFormat="1" applyFont="1" applyFill="1" applyBorder="1"/>
    <x:xf numFmtId="201" fontId="0" fillId="0" borderId="1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2" xfId="0" applyNumberFormat="1" applyFont="1" applyFill="1" applyBorder="1"/>
    <x:xf numFmtId="200" fontId="0" fillId="0" borderId="3" xfId="0" applyNumberFormat="1" applyFont="1" applyFill="1" applyBorder="1"/>
    <x:xf numFmtId="203" fontId="0" fillId="0" borderId="4" xfId="0" applyNumberFormat="1" applyFont="1" applyFill="1" applyBorder="1"/>
    <x:xf numFmtId="203" fontId="0" fillId="0" borderId="6" xfId="0" applyNumberFormat="1" applyFont="1" applyFill="1" applyBorder="1"/>
    <x:xf numFmtId="200" fontId="0" fillId="0" borderId="7" xfId="0" applyNumberFormat="1" applyFont="1" applyFill="1" applyBorder="1"/>
    <x:xf numFmtId="203" fontId="0" fillId="0" borderId="8" xfId="0" applyNumberFormat="1" applyFont="1" applyFill="1" applyBorder="1"/>
    <x:xf numFmtId="200" fontId="0" fillId="0" borderId="9" xfId="0" applyNumberFormat="1" applyFont="1" applyFill="1" applyBorder="1"/>
    <x:xf numFmtId="203" fontId="0" fillId="0" borderId="10" xfId="0" applyNumberFormat="1" applyFont="1" applyFill="1" applyBorder="1"/>
    <x:xf numFmtId="203" fontId="0" fillId="0" borderId="12" xfId="0" applyNumberFormat="1" applyFont="1" applyFill="1" applyBorder="1"/>
    <x:xf numFmtId="200" fontId="0" fillId="0" borderId="13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202" fontId="0" fillId="0" borderId="3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202" fontId="0" fillId="0" borderId="14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3" fontId="0" fillId="0" borderId="2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3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2" fontId="0" fillId="0" borderId="15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1" fontId="0" fillId="0" borderId="7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203" fontId="0" fillId="0" borderId="6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202" fontId="0" fillId="0" borderId="16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3" fontId="0" fillId="0" borderId="8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/>
    </x:xf>
    <x:xf numFmtId="202" fontId="0" fillId="0" borderId="11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vertical="center"/>
    </x:xf>
    <x:xf numFmtId="203" fontId="0" fillId="0" borderId="10" xfId="0" applyNumberFormat="1" applyFont="1" applyFill="1" applyBorder="1" applyAlignment="1">
      <x:alignment vertical="center"/>
    </x:xf>
    <x:xf numFmtId="20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202" fontId="0" fillId="0" borderId="17" xfId="0" applyNumberFormat="1" applyFont="1" applyFill="1" applyBorder="1" applyAlignment="1">
      <x:alignment vertical="center"/>
    </x:xf>
    <x:xf numFmtId="200" fontId="0" fillId="0" borderId="17" xfId="0" applyNumberFormat="1" applyFont="1" applyFill="1" applyBorder="1" applyAlignment="1">
      <x:alignment vertical="center"/>
    </x:xf>
    <x:xf numFmtId="201" fontId="0" fillId="0" borderId="13" xfId="0" applyNumberFormat="1" applyFont="1" applyFill="1" applyBorder="1" applyAlignment="1">
      <x:alignment vertical="center"/>
    </x:xf>
    <x:xf numFmtId="0" fontId="3" fillId="0" borderId="12" xfId="0" applyNumberFormat="1" applyFont="1" applyFill="1" applyBorder="1" applyAlignment="1">
      <x:alignment vertical="center"/>
    </x:xf>
    <x:xf numFmtId="200" fontId="0" fillId="0" borderId="13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 wrapText="1"/>
    </x:xf>
    <x:xf numFmtId="203" fontId="0" fillId="0" borderId="12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5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left"/>
    </x:xf>
    <x:xf numFmtId="0" fontId="5" fillId="4" borderId="1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4" xfId="0" applyNumberFormat="1" applyFont="1" applyFill="1" applyBorder="1"/>
    <x:xf numFmtId="0" fontId="5" fillId="0" borderId="6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/>
    <x:xf numFmtId="0" fontId="5" fillId="0" borderId="10" xfId="0" applyNumberFormat="1" applyFont="1" applyFill="1" applyBorder="1"/>
    <x:xf numFmtId="0" fontId="5" fillId="0" borderId="12" xfId="0" applyNumberFormat="1" applyFont="1" applyFill="1" applyBorder="1"/>
    <x:xf numFmtId="0" fontId="5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horizontal="left" vertical="top" wrapText="1"/>
    </x:xf>
    <x:xf numFmtId="0" fontId="5" fillId="4" borderId="4" xfId="0" applyNumberFormat="1" applyFont="1" applyFill="1" applyBorder="1" applyAlignment="1">
      <x:alignment horizontal="left" vertical="top" wrapText="1"/>
    </x:xf>
    <x:xf numFmtId="0" fontId="5" fillId="4" borderId="6" xfId="0" applyNumberFormat="1" applyFont="1" applyFill="1" applyBorder="1" applyAlignment="1">
      <x:alignment horizontal="left" vertical="top" wrapText="1"/>
    </x:xf>
    <x:xf numFmtId="0" fontId="5" fillId="4" borderId="8" xfId="0" applyNumberFormat="1" applyFont="1" applyFill="1" applyBorder="1" applyAlignment="1">
      <x:alignment horizontal="left" vertical="top" wrapText="1"/>
    </x:xf>
    <x:xf numFmtId="0" fontId="5" fillId="4" borderId="10" xfId="0" applyNumberFormat="1" applyFont="1" applyFill="1" applyBorder="1" applyAlignment="1">
      <x:alignment horizontal="left" vertical="top" wrapText="1"/>
    </x:xf>
    <x:xf numFmtId="0" fontId="5" fillId="4" borderId="12" xfId="0" applyNumberFormat="1" applyFont="1" applyFill="1" applyBorder="1" applyAlignment="1">
      <x:alignment horizontal="left" vertical="top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14" xfId="0" applyNumberFormat="1" applyFont="1" applyFill="1" applyBorder="1"/>
    <x:xf numFmtId="0" fontId="6" fillId="3" borderId="3" xfId="0" applyNumberFormat="1" applyFont="1" applyFill="1" applyBorder="1"/>
    <x:xf numFmtId="0" fontId="6" fillId="3" borderId="6" xfId="0" applyNumberFormat="1" applyFont="1" applyFill="1" applyBorder="1"/>
    <x:xf numFmtId="0" fontId="6" fillId="3" borderId="15" xfId="0" applyNumberFormat="1" applyFont="1" applyFill="1" applyBorder="1"/>
    <x:xf numFmtId="0" fontId="6" fillId="3" borderId="7" xfId="0" applyNumberFormat="1" applyFont="1" applyFill="1" applyBorder="1"/>
    <x:xf numFmtId="202" fontId="6" fillId="3" borderId="2" xfId="0" applyNumberFormat="1" applyFont="1" applyFill="1" applyBorder="1"/>
    <x:xf numFmtId="202" fontId="6" fillId="3" borderId="14" xfId="0" applyNumberFormat="1" applyFont="1" applyFill="1" applyBorder="1"/>
    <x:xf numFmtId="202" fontId="6" fillId="3" borderId="3" xfId="0" applyNumberFormat="1" applyFont="1" applyFill="1" applyBorder="1"/>
    <x:xf numFmtId="202" fontId="6" fillId="3" borderId="6" xfId="0" applyNumberFormat="1" applyFont="1" applyFill="1" applyBorder="1"/>
    <x:xf numFmtId="202" fontId="6" fillId="3" borderId="15" xfId="0" applyNumberFormat="1" applyFont="1" applyFill="1" applyBorder="1"/>
    <x:xf numFmtId="202" fontId="6" fillId="3" borderId="7" xfId="0" applyNumberFormat="1" applyFont="1" applyFill="1" applyBorder="1"/>
    <x:xf numFmtId="202" fontId="6" fillId="3" borderId="2" xfId="0" applyNumberFormat="1" applyFont="1" applyFill="1" applyBorder="1" applyAlignment="1">
      <x:alignment horizontal="center"/>
    </x:xf>
    <x:xf numFmtId="202" fontId="6" fillId="3" borderId="14" xfId="0" applyNumberFormat="1" applyFont="1" applyFill="1" applyBorder="1" applyAlignment="1">
      <x:alignment horizontal="center"/>
    </x:xf>
    <x:xf numFmtId="202" fontId="6" fillId="3" borderId="3" xfId="0" applyNumberFormat="1" applyFont="1" applyFill="1" applyBorder="1" applyAlignment="1">
      <x:alignment horizontal="center"/>
    </x:xf>
    <x:xf numFmtId="202" fontId="6" fillId="3" borderId="6" xfId="0" applyNumberFormat="1" applyFont="1" applyFill="1" applyBorder="1" applyAlignment="1">
      <x:alignment horizontal="center"/>
    </x:xf>
    <x:xf numFmtId="202" fontId="6" fillId="3" borderId="15" xfId="0" applyNumberFormat="1" applyFont="1" applyFill="1" applyBorder="1" applyAlignment="1">
      <x:alignment horizontal="center"/>
    </x:xf>
    <x:xf numFmtId="202" fontId="6" fillId="3" borderId="7" xfId="0" applyNumberFormat="1" applyFont="1" applyFill="1" applyBorder="1" applyAlignment="1">
      <x:alignment horizontal="center"/>
    </x:xf>
    <x:xf numFmtId="202" fontId="6" fillId="3" borderId="2" xfId="0" applyNumberFormat="1" applyFont="1" applyFill="1" applyBorder="1" applyAlignment="1">
      <x:alignment horizontal="center" vertical="center"/>
    </x:xf>
    <x:xf numFmtId="202" fontId="6" fillId="3" borderId="14" xfId="0" applyNumberFormat="1" applyFont="1" applyFill="1" applyBorder="1" applyAlignment="1">
      <x:alignment horizontal="center" vertical="center"/>
    </x:xf>
    <x:xf numFmtId="202" fontId="6" fillId="3" borderId="3" xfId="0" applyNumberFormat="1" applyFont="1" applyFill="1" applyBorder="1" applyAlignment="1">
      <x:alignment horizontal="center" vertical="center"/>
    </x:xf>
    <x:xf numFmtId="202" fontId="6" fillId="3" borderId="6" xfId="0" applyNumberFormat="1" applyFont="1" applyFill="1" applyBorder="1" applyAlignment="1">
      <x:alignment horizontal="center" vertical="center"/>
    </x:xf>
    <x:xf numFmtId="202" fontId="6" fillId="3" borderId="15" xfId="0" applyNumberFormat="1" applyFont="1" applyFill="1" applyBorder="1" applyAlignment="1">
      <x:alignment horizontal="center" vertical="center"/>
    </x:xf>
    <x:xf numFmtId="202" fontId="6" fillId="3" borderId="7" xfId="0" applyNumberFormat="1" applyFont="1" applyFill="1" applyBorder="1" applyAlignment="1">
      <x:alignment horizontal="center" vertical="center"/>
    </x:xf>
    <x:xf numFmtId="0" fontId="6" fillId="3" borderId="1" xfId="0" applyNumberFormat="1" applyFont="1" applyFill="1" applyBorder="1"/>
    <x:xf numFmtId="0" fontId="6" fillId="3" borderId="8" xfId="0" applyNumberFormat="1" applyFont="1" applyFill="1" applyBorder="1"/>
    <x:xf numFmtId="0" fontId="6" fillId="3" borderId="16" xfId="0" applyNumberFormat="1" applyFont="1" applyFill="1" applyBorder="1"/>
    <x:xf numFmtId="0" fontId="6" fillId="3" borderId="9" xfId="0" applyNumberFormat="1" applyFont="1" applyFill="1" applyBorder="1"/>
    <x:xf numFmtId="0" fontId="6" fillId="3" borderId="12" xfId="0" applyNumberFormat="1" applyFont="1" applyFill="1" applyBorder="1"/>
    <x:xf numFmtId="0" fontId="6" fillId="3" borderId="17" xfId="0" applyNumberFormat="1" applyFont="1" applyFill="1" applyBorder="1"/>
    <x:xf numFmtId="0" fontId="6" fillId="3" borderId="13" xfId="0" applyNumberFormat="1" applyFont="1" applyFill="1" applyBorder="1"/>
    <x:xf numFmtId="202" fontId="6" fillId="3" borderId="8" xfId="0" applyNumberFormat="1" applyFont="1" applyFill="1" applyBorder="1"/>
    <x:xf numFmtId="202" fontId="6" fillId="3" borderId="16" xfId="0" applyNumberFormat="1" applyFont="1" applyFill="1" applyBorder="1"/>
    <x:xf numFmtId="202" fontId="6" fillId="3" borderId="9" xfId="0" applyNumberFormat="1" applyFont="1" applyFill="1" applyBorder="1"/>
    <x:xf numFmtId="202" fontId="6" fillId="3" borderId="12" xfId="0" applyNumberFormat="1" applyFont="1" applyFill="1" applyBorder="1"/>
    <x:xf numFmtId="202" fontId="6" fillId="3" borderId="17" xfId="0" applyNumberFormat="1" applyFont="1" applyFill="1" applyBorder="1"/>
    <x:xf numFmtId="202" fontId="6" fillId="3" borderId="13" xfId="0" applyNumberFormat="1" applyFont="1" applyFill="1" applyBorder="1"/>
    <x:xf numFmtId="202" fontId="6" fillId="3" borderId="8" xfId="0" applyNumberFormat="1" applyFont="1" applyFill="1" applyBorder="1" applyAlignment="1">
      <x:alignment horizontal="center"/>
    </x:xf>
    <x:xf numFmtId="202" fontId="6" fillId="3" borderId="16" xfId="0" applyNumberFormat="1" applyFont="1" applyFill="1" applyBorder="1" applyAlignment="1">
      <x:alignment horizontal="center"/>
    </x:xf>
    <x:xf numFmtId="202" fontId="6" fillId="3" borderId="9" xfId="0" applyNumberFormat="1" applyFont="1" applyFill="1" applyBorder="1" applyAlignment="1">
      <x:alignment horizontal="center"/>
    </x:xf>
    <x:xf numFmtId="202" fontId="6" fillId="3" borderId="12" xfId="0" applyNumberFormat="1" applyFont="1" applyFill="1" applyBorder="1" applyAlignment="1">
      <x:alignment horizontal="center"/>
    </x:xf>
    <x:xf numFmtId="202" fontId="6" fillId="3" borderId="17" xfId="0" applyNumberFormat="1" applyFont="1" applyFill="1" applyBorder="1" applyAlignment="1">
      <x:alignment horizontal="center"/>
    </x:xf>
    <x:xf numFmtId="202" fontId="6" fillId="3" borderId="13" xfId="0" applyNumberFormat="1" applyFont="1" applyFill="1" applyBorder="1" applyAlignment="1">
      <x:alignment horizontal="center"/>
    </x:xf>
    <x:xf numFmtId="202" fontId="6" fillId="3" borderId="8" xfId="0" applyNumberFormat="1" applyFont="1" applyFill="1" applyBorder="1" applyAlignment="1">
      <x:alignment horizontal="center" vertical="center"/>
    </x:xf>
    <x:xf numFmtId="202" fontId="6" fillId="3" borderId="16" xfId="0" applyNumberFormat="1" applyFont="1" applyFill="1" applyBorder="1" applyAlignment="1">
      <x:alignment horizontal="center" vertical="center"/>
    </x:xf>
    <x:xf numFmtId="202" fontId="6" fillId="3" borderId="9" xfId="0" applyNumberFormat="1" applyFont="1" applyFill="1" applyBorder="1" applyAlignment="1">
      <x:alignment horizontal="center" vertical="center"/>
    </x:xf>
    <x:xf numFmtId="202" fontId="6" fillId="3" borderId="12" xfId="0" applyNumberFormat="1" applyFont="1" applyFill="1" applyBorder="1" applyAlignment="1">
      <x:alignment horizontal="center" vertical="center"/>
    </x:xf>
    <x:xf numFmtId="202" fontId="6" fillId="3" borderId="17" xfId="0" applyNumberFormat="1" applyFont="1" applyFill="1" applyBorder="1" applyAlignment="1">
      <x:alignment horizontal="center" vertical="center"/>
    </x:xf>
    <x:xf numFmtId="202" fontId="6" fillId="3" borderId="13" xfId="0" applyNumberFormat="1" applyFont="1" applyFill="1" applyBorder="1" applyAlignment="1">
      <x:alignment horizontal="center" vertical="center"/>
    </x:xf>
    <x:xf numFmtId="200" fontId="6" fillId="3" borderId="2" xfId="0" applyNumberFormat="1" applyFont="1" applyFill="1" applyBorder="1"/>
    <x:xf numFmtId="200" fontId="6" fillId="3" borderId="14" xfId="0" applyNumberFormat="1" applyFont="1" applyFill="1" applyBorder="1"/>
    <x:xf numFmtId="200" fontId="6" fillId="3" borderId="3" xfId="0" applyNumberFormat="1" applyFont="1" applyFill="1" applyBorder="1"/>
    <x:xf numFmtId="200" fontId="6" fillId="3" borderId="6" xfId="0" applyNumberFormat="1" applyFont="1" applyFill="1" applyBorder="1"/>
    <x:xf numFmtId="200" fontId="6" fillId="3" borderId="15" xfId="0" applyNumberFormat="1" applyFont="1" applyFill="1" applyBorder="1"/>
    <x:xf numFmtId="200" fontId="6" fillId="3" borderId="7" xfId="0" applyNumberFormat="1" applyFont="1" applyFill="1" applyBorder="1"/>
    <x:xf numFmtId="200" fontId="6" fillId="3" borderId="2" xfId="0" applyNumberFormat="1" applyFont="1" applyFill="1" applyBorder="1" applyAlignment="1">
      <x:alignment horizontal="center"/>
    </x:xf>
    <x:xf numFmtId="200" fontId="6" fillId="3" borderId="14" xfId="0" applyNumberFormat="1" applyFont="1" applyFill="1" applyBorder="1" applyAlignment="1">
      <x:alignment horizontal="center"/>
    </x:xf>
    <x:xf numFmtId="200" fontId="6" fillId="3" borderId="3" xfId="0" applyNumberFormat="1" applyFont="1" applyFill="1" applyBorder="1" applyAlignment="1">
      <x:alignment horizontal="center"/>
    </x:xf>
    <x:xf numFmtId="200" fontId="6" fillId="3" borderId="6" xfId="0" applyNumberFormat="1" applyFont="1" applyFill="1" applyBorder="1" applyAlignment="1">
      <x:alignment horizontal="center"/>
    </x:xf>
    <x:xf numFmtId="200" fontId="6" fillId="3" borderId="15" xfId="0" applyNumberFormat="1" applyFont="1" applyFill="1" applyBorder="1" applyAlignment="1">
      <x:alignment horizontal="center"/>
    </x:xf>
    <x:xf numFmtId="200" fontId="6" fillId="3" borderId="7" xfId="0" applyNumberFormat="1" applyFont="1" applyFill="1" applyBorder="1" applyAlignment="1">
      <x:alignment horizontal="center"/>
    </x:xf>
    <x:xf numFmtId="200" fontId="6" fillId="3" borderId="2" xfId="0" applyNumberFormat="1" applyFont="1" applyFill="1" applyBorder="1" applyAlignment="1">
      <x:alignment horizontal="center" vertical="center"/>
    </x:xf>
    <x:xf numFmtId="200" fontId="6" fillId="3" borderId="14" xfId="0" applyNumberFormat="1" applyFont="1" applyFill="1" applyBorder="1" applyAlignment="1">
      <x:alignment horizontal="center" vertical="center"/>
    </x:xf>
    <x:xf numFmtId="200" fontId="6" fillId="3" borderId="3" xfId="0" applyNumberFormat="1" applyFont="1" applyFill="1" applyBorder="1" applyAlignment="1">
      <x:alignment horizontal="center" vertical="center"/>
    </x:xf>
    <x:xf numFmtId="200" fontId="6" fillId="3" borderId="6" xfId="0" applyNumberFormat="1" applyFont="1" applyFill="1" applyBorder="1" applyAlignment="1">
      <x:alignment horizontal="center" vertical="center"/>
    </x:xf>
    <x:xf numFmtId="200" fontId="6" fillId="3" borderId="15" xfId="0" applyNumberFormat="1" applyFont="1" applyFill="1" applyBorder="1" applyAlignment="1">
      <x:alignment horizontal="center" vertical="center"/>
    </x:xf>
    <x:xf numFmtId="200" fontId="6" fillId="3" borderId="7" xfId="0" applyNumberFormat="1" applyFont="1" applyFill="1" applyBorder="1" applyAlignment="1">
      <x:alignment horizontal="center" vertical="center"/>
    </x:xf>
    <x:xf numFmtId="200" fontId="6" fillId="3" borderId="8" xfId="0" applyNumberFormat="1" applyFont="1" applyFill="1" applyBorder="1"/>
    <x:xf numFmtId="200" fontId="6" fillId="3" borderId="16" xfId="0" applyNumberFormat="1" applyFont="1" applyFill="1" applyBorder="1"/>
    <x:xf numFmtId="200" fontId="6" fillId="3" borderId="9" xfId="0" applyNumberFormat="1" applyFont="1" applyFill="1" applyBorder="1"/>
    <x:xf numFmtId="200" fontId="6" fillId="3" borderId="12" xfId="0" applyNumberFormat="1" applyFont="1" applyFill="1" applyBorder="1"/>
    <x:xf numFmtId="200" fontId="6" fillId="3" borderId="17" xfId="0" applyNumberFormat="1" applyFont="1" applyFill="1" applyBorder="1"/>
    <x:xf numFmtId="200" fontId="6" fillId="3" borderId="13" xfId="0" applyNumberFormat="1" applyFont="1" applyFill="1" applyBorder="1"/>
    <x:xf numFmtId="200" fontId="6" fillId="3" borderId="8" xfId="0" applyNumberFormat="1" applyFont="1" applyFill="1" applyBorder="1" applyAlignment="1">
      <x:alignment horizontal="center"/>
    </x:xf>
    <x:xf numFmtId="200" fontId="6" fillId="3" borderId="16" xfId="0" applyNumberFormat="1" applyFont="1" applyFill="1" applyBorder="1" applyAlignment="1">
      <x:alignment horizontal="center"/>
    </x:xf>
    <x:xf numFmtId="200" fontId="6" fillId="3" borderId="9" xfId="0" applyNumberFormat="1" applyFont="1" applyFill="1" applyBorder="1" applyAlignment="1">
      <x:alignment horizontal="center"/>
    </x:xf>
    <x:xf numFmtId="200" fontId="6" fillId="3" borderId="12" xfId="0" applyNumberFormat="1" applyFont="1" applyFill="1" applyBorder="1" applyAlignment="1">
      <x:alignment horizontal="center"/>
    </x:xf>
    <x:xf numFmtId="200" fontId="6" fillId="3" borderId="17" xfId="0" applyNumberFormat="1" applyFont="1" applyFill="1" applyBorder="1" applyAlignment="1">
      <x:alignment horizontal="center"/>
    </x:xf>
    <x:xf numFmtId="200" fontId="6" fillId="3" borderId="13" xfId="0" applyNumberFormat="1" applyFont="1" applyFill="1" applyBorder="1" applyAlignment="1">
      <x:alignment horizontal="center"/>
    </x:xf>
    <x:xf numFmtId="200" fontId="6" fillId="3" borderId="8" xfId="0" applyNumberFormat="1" applyFont="1" applyFill="1" applyBorder="1" applyAlignment="1">
      <x:alignment horizontal="center" vertical="center"/>
    </x:xf>
    <x:xf numFmtId="200" fontId="6" fillId="3" borderId="16" xfId="0" applyNumberFormat="1" applyFont="1" applyFill="1" applyBorder="1" applyAlignment="1">
      <x:alignment horizontal="center" vertical="center"/>
    </x:xf>
    <x:xf numFmtId="200" fontId="6" fillId="3" borderId="9" xfId="0" applyNumberFormat="1" applyFont="1" applyFill="1" applyBorder="1" applyAlignment="1">
      <x:alignment horizontal="center" vertical="center"/>
    </x:xf>
    <x:xf numFmtId="200" fontId="6" fillId="3" borderId="12" xfId="0" applyNumberFormat="1" applyFont="1" applyFill="1" applyBorder="1" applyAlignment="1">
      <x:alignment horizontal="center" vertical="center"/>
    </x:xf>
    <x:xf numFmtId="200" fontId="6" fillId="3" borderId="17" xfId="0" applyNumberFormat="1" applyFont="1" applyFill="1" applyBorder="1" applyAlignment="1">
      <x:alignment horizontal="center" vertical="center"/>
    </x:xf>
    <x:xf numFmtId="200" fontId="6" fillId="3" borderId="13" xfId="0" applyNumberFormat="1" applyFont="1" applyFill="1" applyBorder="1" applyAlignment="1">
      <x:alignment horizontal="center" vertical="center"/>
    </x:xf>
    <x:xf numFmtId="201" fontId="6" fillId="3" borderId="2" xfId="0" applyNumberFormat="1" applyFont="1" applyFill="1" applyBorder="1"/>
    <x:xf numFmtId="201" fontId="6" fillId="3" borderId="3" xfId="0" applyNumberFormat="1" applyFont="1" applyFill="1" applyBorder="1"/>
    <x:xf numFmtId="201" fontId="6" fillId="3" borderId="6" xfId="0" applyNumberFormat="1" applyFont="1" applyFill="1" applyBorder="1"/>
    <x:xf numFmtId="201" fontId="6" fillId="3" borderId="7" xfId="0" applyNumberFormat="1" applyFont="1" applyFill="1" applyBorder="1"/>
    <x:xf numFmtId="201" fontId="6" fillId="3" borderId="2" xfId="0" applyNumberFormat="1" applyFont="1" applyFill="1" applyBorder="1" applyAlignment="1">
      <x:alignment horizontal="center"/>
    </x:xf>
    <x:xf numFmtId="201" fontId="6" fillId="3" borderId="3" xfId="0" applyNumberFormat="1" applyFont="1" applyFill="1" applyBorder="1" applyAlignment="1">
      <x:alignment horizontal="center"/>
    </x:xf>
    <x:xf numFmtId="201" fontId="6" fillId="3" borderId="6" xfId="0" applyNumberFormat="1" applyFont="1" applyFill="1" applyBorder="1" applyAlignment="1">
      <x:alignment horizontal="center"/>
    </x:xf>
    <x:xf numFmtId="201" fontId="6" fillId="3" borderId="7" xfId="0" applyNumberFormat="1" applyFont="1" applyFill="1" applyBorder="1" applyAlignment="1">
      <x:alignment horizontal="center"/>
    </x:xf>
    <x:xf numFmtId="201" fontId="6" fillId="3" borderId="2" xfId="0" applyNumberFormat="1" applyFont="1" applyFill="1" applyBorder="1" applyAlignment="1">
      <x:alignment horizontal="center" vertical="center"/>
    </x:xf>
    <x:xf numFmtId="201" fontId="6" fillId="3" borderId="3" xfId="0" applyNumberFormat="1" applyFont="1" applyFill="1" applyBorder="1" applyAlignment="1">
      <x:alignment horizontal="center" vertical="center"/>
    </x:xf>
    <x:xf numFmtId="201" fontId="6" fillId="3" borderId="6" xfId="0" applyNumberFormat="1" applyFont="1" applyFill="1" applyBorder="1" applyAlignment="1">
      <x:alignment horizontal="center" vertical="center"/>
    </x:xf>
    <x:xf numFmtId="201" fontId="6" fillId="3" borderId="7" xfId="0" applyNumberFormat="1" applyFont="1" applyFill="1" applyBorder="1" applyAlignment="1">
      <x:alignment horizontal="center" vertical="center"/>
    </x:xf>
    <x:xf numFmtId="201" fontId="6" fillId="3" borderId="8" xfId="0" applyNumberFormat="1" applyFont="1" applyFill="1" applyBorder="1"/>
    <x:xf numFmtId="201" fontId="6" fillId="3" borderId="9" xfId="0" applyNumberFormat="1" applyFont="1" applyFill="1" applyBorder="1"/>
    <x:xf numFmtId="201" fontId="6" fillId="3" borderId="12" xfId="0" applyNumberFormat="1" applyFont="1" applyFill="1" applyBorder="1"/>
    <x:xf numFmtId="201" fontId="6" fillId="3" borderId="13" xfId="0" applyNumberFormat="1" applyFont="1" applyFill="1" applyBorder="1"/>
    <x:xf numFmtId="201" fontId="6" fillId="3" borderId="8" xfId="0" applyNumberFormat="1" applyFont="1" applyFill="1" applyBorder="1" applyAlignment="1">
      <x:alignment horizontal="center"/>
    </x:xf>
    <x:xf numFmtId="201" fontId="6" fillId="3" borderId="9" xfId="0" applyNumberFormat="1" applyFont="1" applyFill="1" applyBorder="1" applyAlignment="1">
      <x:alignment horizontal="center"/>
    </x:xf>
    <x:xf numFmtId="201" fontId="6" fillId="3" borderId="12" xfId="0" applyNumberFormat="1" applyFont="1" applyFill="1" applyBorder="1" applyAlignment="1">
      <x:alignment horizontal="center"/>
    </x:xf>
    <x:xf numFmtId="201" fontId="6" fillId="3" borderId="13" xfId="0" applyNumberFormat="1" applyFont="1" applyFill="1" applyBorder="1" applyAlignment="1">
      <x:alignment horizontal="center"/>
    </x:xf>
    <x:xf numFmtId="201" fontId="6" fillId="3" borderId="8" xfId="0" applyNumberFormat="1" applyFont="1" applyFill="1" applyBorder="1" applyAlignment="1">
      <x:alignment horizontal="center" vertical="center"/>
    </x:xf>
    <x:xf numFmtId="201" fontId="6" fillId="3" borderId="9" xfId="0" applyNumberFormat="1" applyFont="1" applyFill="1" applyBorder="1" applyAlignment="1">
      <x:alignment horizontal="center" vertical="center"/>
    </x:xf>
    <x:xf numFmtId="201" fontId="6" fillId="3" borderId="12" xfId="0" applyNumberFormat="1" applyFont="1" applyFill="1" applyBorder="1" applyAlignment="1">
      <x:alignment horizontal="center" vertical="center"/>
    </x:xf>
    <x:xf numFmtId="201" fontId="6" fillId="3" borderId="13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2" xfId="0" applyNumberFormat="1" applyFont="1" applyFill="1" applyBorder="1"/>
    <x:xf numFmtId="0" fontId="7" fillId="3" borderId="14" xfId="0" applyNumberFormat="1" applyFont="1" applyFill="1" applyBorder="1"/>
    <x:xf numFmtId="0" fontId="7" fillId="3" borderId="3" xfId="0" applyNumberFormat="1" applyFont="1" applyFill="1" applyBorder="1"/>
    <x:xf numFmtId="0" fontId="7" fillId="3" borderId="6" xfId="0" applyNumberFormat="1" applyFont="1" applyFill="1" applyBorder="1"/>
    <x:xf numFmtId="0" fontId="7" fillId="3" borderId="15" xfId="0" applyNumberFormat="1" applyFont="1" applyFill="1" applyBorder="1"/>
    <x:xf numFmtId="0" fontId="7" fillId="3" borderId="7" xfId="0" applyNumberFormat="1" applyFont="1" applyFill="1" applyBorder="1"/>
    <x:xf numFmtId="0" fontId="7" fillId="3" borderId="2" xfId="0" applyNumberFormat="1" applyFont="1" applyFill="1" applyBorder="1" applyAlignment="1">
      <x:alignment wrapText="1"/>
    </x:xf>
    <x:xf numFmtId="0" fontId="7" fillId="3" borderId="14" xfId="0" applyNumberFormat="1" applyFont="1" applyFill="1" applyBorder="1" applyAlignment="1">
      <x:alignment wrapText="1"/>
    </x:xf>
    <x:xf numFmtId="0" fontId="7" fillId="3" borderId="3" xfId="0" applyNumberFormat="1" applyFont="1" applyFill="1" applyBorder="1" applyAlignment="1">
      <x:alignment wrapText="1"/>
    </x:xf>
    <x:xf numFmtId="0" fontId="7" fillId="3" borderId="6" xfId="0" applyNumberFormat="1" applyFont="1" applyFill="1" applyBorder="1" applyAlignment="1">
      <x:alignment wrapText="1"/>
    </x:xf>
    <x:xf numFmtId="0" fontId="7" fillId="3" borderId="15" xfId="0" applyNumberFormat="1" applyFont="1" applyFill="1" applyBorder="1" applyAlignment="1">
      <x:alignment wrapText="1"/>
    </x:xf>
    <x:xf numFmtId="0" fontId="7" fillId="3" borderId="7" xfId="0" applyNumberFormat="1" applyFont="1" applyFill="1" applyBorder="1" applyAlignment="1">
      <x:alignment wrapText="1"/>
    </x:xf>
    <x:xf numFmtId="0" fontId="7" fillId="3" borderId="2" xfId="0" applyNumberFormat="1" applyFont="1" applyFill="1" applyBorder="1" applyAlignment="1">
      <x:alignment vertical="top" wrapText="1"/>
    </x:xf>
    <x:xf numFmtId="0" fontId="7" fillId="3" borderId="14" xfId="0" applyNumberFormat="1" applyFont="1" applyFill="1" applyBorder="1" applyAlignment="1">
      <x:alignment vertical="top" wrapText="1"/>
    </x:xf>
    <x:xf numFmtId="0" fontId="7" fillId="3" borderId="3" xfId="0" applyNumberFormat="1" applyFont="1" applyFill="1" applyBorder="1" applyAlignment="1">
      <x:alignment vertical="top" wrapText="1"/>
    </x:xf>
    <x:xf numFmtId="0" fontId="7" fillId="3" borderId="6" xfId="0" applyNumberFormat="1" applyFont="1" applyFill="1" applyBorder="1" applyAlignment="1">
      <x:alignment vertical="top" wrapText="1"/>
    </x:xf>
    <x:xf numFmtId="0" fontId="7" fillId="3" borderId="15" xfId="0" applyNumberFormat="1" applyFont="1" applyFill="1" applyBorder="1" applyAlignment="1">
      <x:alignment vertical="top" wrapText="1"/>
    </x:xf>
    <x:xf numFmtId="0" fontId="7" fillId="3" borderId="7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/>
    <x:xf numFmtId="0" fontId="7" fillId="3" borderId="8" xfId="0" applyNumberFormat="1" applyFont="1" applyFill="1" applyBorder="1"/>
    <x:xf numFmtId="0" fontId="7" fillId="3" borderId="16" xfId="0" applyNumberFormat="1" applyFont="1" applyFill="1" applyBorder="1"/>
    <x:xf numFmtId="0" fontId="7" fillId="3" borderId="9" xfId="0" applyNumberFormat="1" applyFont="1" applyFill="1" applyBorder="1"/>
    <x:xf numFmtId="0" fontId="7" fillId="3" borderId="12" xfId="0" applyNumberFormat="1" applyFont="1" applyFill="1" applyBorder="1"/>
    <x:xf numFmtId="0" fontId="7" fillId="3" borderId="17" xfId="0" applyNumberFormat="1" applyFont="1" applyFill="1" applyBorder="1"/>
    <x:xf numFmtId="0" fontId="7" fillId="3" borderId="13" xfId="0" applyNumberFormat="1" applyFont="1" applyFill="1" applyBorder="1"/>
    <x:xf numFmtId="0" fontId="7" fillId="3" borderId="8" xfId="0" applyNumberFormat="1" applyFont="1" applyFill="1" applyBorder="1" applyAlignment="1">
      <x:alignment wrapText="1"/>
    </x:xf>
    <x:xf numFmtId="0" fontId="7" fillId="3" borderId="16" xfId="0" applyNumberFormat="1" applyFont="1" applyFill="1" applyBorder="1" applyAlignment="1">
      <x:alignment wrapText="1"/>
    </x:xf>
    <x:xf numFmtId="0" fontId="7" fillId="3" borderId="9" xfId="0" applyNumberFormat="1" applyFont="1" applyFill="1" applyBorder="1" applyAlignment="1">
      <x:alignment wrapText="1"/>
    </x:xf>
    <x:xf numFmtId="0" fontId="7" fillId="3" borderId="12" xfId="0" applyNumberFormat="1" applyFont="1" applyFill="1" applyBorder="1" applyAlignment="1">
      <x:alignment wrapText="1"/>
    </x:xf>
    <x:xf numFmtId="0" fontId="7" fillId="3" borderId="17" xfId="0" applyNumberFormat="1" applyFont="1" applyFill="1" applyBorder="1" applyAlignment="1">
      <x:alignment wrapText="1"/>
    </x:xf>
    <x:xf numFmtId="0" fontId="7" fillId="3" borderId="13" xfId="0" applyNumberFormat="1" applyFont="1" applyFill="1" applyBorder="1" applyAlignment="1">
      <x:alignment wrapText="1"/>
    </x:xf>
    <x:xf numFmtId="0" fontId="7" fillId="3" borderId="8" xfId="0" applyNumberFormat="1" applyFont="1" applyFill="1" applyBorder="1" applyAlignment="1">
      <x:alignment vertical="top" wrapText="1"/>
    </x:xf>
    <x:xf numFmtId="0" fontId="7" fillId="3" borderId="16" xfId="0" applyNumberFormat="1" applyFont="1" applyFill="1" applyBorder="1" applyAlignment="1">
      <x:alignment vertical="top" wrapText="1"/>
    </x:xf>
    <x:xf numFmtId="0" fontId="7" fillId="3" borderId="9" xfId="0" applyNumberFormat="1" applyFont="1" applyFill="1" applyBorder="1" applyAlignment="1">
      <x:alignment vertical="top" wrapText="1"/>
    </x:xf>
    <x:xf numFmtId="0" fontId="7" fillId="3" borderId="12" xfId="0" applyNumberFormat="1" applyFont="1" applyFill="1" applyBorder="1" applyAlignment="1">
      <x:alignment vertical="top" wrapText="1"/>
    </x:xf>
    <x:xf numFmtId="0" fontId="7" fillId="3" borderId="17" xfId="0" applyNumberFormat="1" applyFont="1" applyFill="1" applyBorder="1" applyAlignment="1">
      <x:alignment vertical="top" wrapText="1"/>
    </x:xf>
    <x:xf numFmtId="0" fontId="7" fillId="3" borderId="13" xfId="0" applyNumberFormat="1" applyFont="1" applyFill="1" applyBorder="1" applyAlignment="1">
      <x:alignment vertical="top" wrapText="1"/>
    </x:xf>
    <x:xf numFmtId="0" fontId="7" fillId="3" borderId="18" xfId="0" applyNumberFormat="1" applyFont="1" applyFill="1" applyBorder="1" applyAlignment="1">
      <x:alignment vertical="top" wrapText="1"/>
    </x:xf>
    <x:xf numFmtId="0" fontId="7" fillId="3" borderId="19" xfId="0" applyNumberFormat="1" applyFont="1" applyFill="1" applyBorder="1" applyAlignment="1">
      <x:alignment vertical="top" wrapText="1"/>
    </x:xf>
    <x:xf numFmtId="0" fontId="7" fillId="3" borderId="20" xfId="0" applyNumberFormat="1" applyFont="1" applyFill="1" applyBorder="1" applyAlignment="1">
      <x:alignment vertical="top" wrapText="1"/>
    </x:xf>
    <x:xf numFmtId="0" fontId="7" fillId="3" borderId="21" xfId="0" applyNumberFormat="1" applyFont="1" applyFill="1" applyBorder="1" applyAlignment="1">
      <x:alignment vertical="top" wrapText="1"/>
    </x:xf>
    <x:xf numFmtId="0" fontId="7" fillId="3" borderId="22" xfId="0" applyNumberFormat="1" applyFont="1" applyFill="1" applyBorder="1" applyAlignment="1">
      <x:alignment vertical="top" wrapText="1"/>
    </x:xf>
    <x:xf numFmtId="0" fontId="7" fillId="3" borderId="23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horizontal="left" wrapText="1"/>
    </x:xf>
    <x:xf numFmtId="0" fontId="8" fillId="4" borderId="0" xfId="0" applyNumberFormat="1" applyFont="1" applyFill="1" applyBorder="1" applyAlignment="1">
      <x:alignment horizontal="left" vertical="center" wrapText="1"/>
    </x:xf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horizontal="left" wrapText="1"/>
    </x:xf>
    <x:xf numFmtId="0" fontId="8" fillId="4" borderId="1" xfId="0" applyNumberFormat="1" applyFont="1" applyFill="1" applyBorder="1" applyAlignment="1">
      <x:alignment horizontal="left" vertical="center" wrapText="1"/>
    </x:xf>
    <x:xf numFmtId="0" fontId="0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30cc70767a4100" /><Relationship Type="http://schemas.openxmlformats.org/officeDocument/2006/relationships/theme" Target="/xl/theme/theme1.xml" Id="R96058e3be3d647ec" /><Relationship Type="http://schemas.openxmlformats.org/officeDocument/2006/relationships/sharedStrings" Target="/xl/sharedStrings.xml" Id="R82f758dd01094a70" /><Relationship Type="http://schemas.openxmlformats.org/officeDocument/2006/relationships/worksheet" Target="/xl/worksheets/sheet1.xml" Id="R7fe1ee45f31a4ec3" /><Relationship Type="http://schemas.openxmlformats.org/officeDocument/2006/relationships/worksheet" Target="/xl/worksheets/sheet2.xml" Id="Rab18ba16904a4c4f" /><Relationship Type="http://schemas.openxmlformats.org/officeDocument/2006/relationships/worksheet" Target="/xl/worksheets/sheet3.xml" Id="R3c4a57498d664b44" /><Relationship Type="http://schemas.openxmlformats.org/officeDocument/2006/relationships/worksheet" Target="/xl/worksheets/sheet4.xml" Id="R7376bdba4d4449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db8aa62af0d46d9" /><Relationship Type="http://schemas.openxmlformats.org/officeDocument/2006/relationships/chart" Target="/xl/drawings/charts/chart2.xml" Id="R139cd4e212684467" /><Relationship Type="http://schemas.openxmlformats.org/officeDocument/2006/relationships/chart" Target="/xl/drawings/charts/chart3.xml" Id="R31fcb0036ac94f8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On-Time Performance by Shipping Mode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On-Time Rate</c:v>
          </c:tx>
          <c:cat>
            <c:strRef>
              <c:f>'Dashboard_Data'!$A$15:$A$18</c:f>
              <c:strCache>
                <c:ptCount val="0"/>
              </c:strCache>
            </c:strRef>
          </c:cat>
          <c:val>
            <c:numRef>
              <c:f>'Dashboard_Data'!$B$15:$B$18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On-Time Delivery Performance</a:t>
            </a:r>
          </a:p>
        </c:rich>
      </c:tx>
    </c:title>
    <c:plotArea>
      <c:lineChart>
        <c:grouping val="standard"/>
        <c:ser>
          <c:idx val="0"/>
          <c:order val="0"/>
          <c:tx>
            <c:v>On-Time Rate</c:v>
          </c:tx>
          <c:marker>
            <c:symbol val="none"/>
          </c:marker>
          <c:cat>
            <c:strRef>
              <c:f>'Dashboard_Data'!$D$15:$D$51</c:f>
              <c:strCache>
                <c:ptCount val="0"/>
              </c:strCache>
            </c:strRef>
          </c:cat>
          <c:val>
            <c:numRef>
              <c:f>'Dashboard_Data'!$E$15:$E$51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High-Volume Categories: On-Time Performance (%)</a:t>
            </a:r>
          </a:p>
        </c:rich>
      </c:tx>
    </c:title>
    <c:plotArea>
      <c:barChart>
        <c:barDir val="bar"/>
        <c:grouping val="clustered"/>
        <c:varyColors val="0"/>
        <c:ser>
          <c:idx val="0"/>
          <c:order val="0"/>
          <c:tx>
            <c:v>On-Time Rate</c:v>
          </c:tx>
          <c:cat>
            <c:strRef>
              <c:f>'Dashboard_Data'!$G$15:$G$24</c:f>
              <c:strCache>
                <c:ptCount val="0"/>
              </c:strCache>
            </c:strRef>
          </c:cat>
          <c:val>
            <c:numRef>
              <c:f>'Dashboard_Data'!$H$15:$H$24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6</xdr:row>
      <xdr:rowOff>0</xdr:rowOff>
    </xdr:from>
    <xdr:to>
      <xdr:col>7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b8aa62af0d46d9"/>
        </a:graphicData>
      </a:graphic>
    </xdr:graphicFrame>
    <xdr:clientData/>
  </xdr:twoCellAnchor>
  <xdr:twoCellAnchor>
    <xdr:from>
      <xdr:col>7</xdr:col>
      <xdr:colOff>0</xdr:colOff>
      <xdr:row>6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9cd4e212684467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7</xdr:col>
      <xdr:colOff>0</xdr:colOff>
      <xdr:row>39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fcb0036ac94f8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4ead8baebbd4fd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0" customHeight="1">
      <x:c r="A1" s="5" t="str">
        <x:v>Supply Chain Delivery Performance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 ht="24" customHeight="1">
      <x:c r="A3" s="13" t="str">
        <x:v>TOTAL TRANSACTIONS</x:v>
      </x:c>
      <x:c r="B3" s="13"/>
      <x:c r="C3" s="13"/>
      <x:c r="D3" s="13" t="str">
        <x:v>ELIGIBLE SHIPMENTS</x:v>
      </x:c>
      <x:c r="E3" s="13"/>
      <x:c r="F3" s="13"/>
      <x:c r="G3" s="13" t="str">
        <x:v>ON-TIME RATE</x:v>
      </x:c>
      <x:c r="H3" s="13"/>
      <x:c r="I3" s="13"/>
      <x:c r="J3" s="13" t="str">
        <x:v>LATE RATE</x:v>
      </x:c>
      <x:c r="K3" s="13"/>
      <x:c r="L3" s="13"/>
      <x:c r="M3" s="13" t="str">
        <x:v>AVG VARIANCE (DAYS)</x:v>
      </x:c>
      <x:c r="N3" s="13"/>
    </x:row>
    <x:row r="4" ht="24" customHeight="1">
      <x:c r="A4" s="206" t="n">
        <x:f>Dashboard_Data!B4</x:f>
        <x:v>180519</x:v>
      </x:c>
      <x:c r="B4" s="207"/>
      <x:c r="C4" s="208"/>
      <x:c r="D4" s="206" t="n">
        <x:f>Dashboard_Data!B5</x:f>
        <x:v>172765</x:v>
      </x:c>
      <x:c r="E4" s="207"/>
      <x:c r="F4" s="208"/>
      <x:c r="G4" s="249" t="n">
        <x:f>Dashboard_Data!B6</x:f>
        <x:v>0.4271003964923451</x:v>
      </x:c>
      <x:c r="H4" s="250"/>
      <x:c r="I4" s="251"/>
      <x:c r="J4" s="249" t="n">
        <x:f>Dashboard_Data!B7</x:f>
        <x:v>0.5728996035076549</x:v>
      </x:c>
      <x:c r="K4" s="250"/>
      <x:c r="L4" s="251"/>
      <x:c r="M4" s="281" t="n">
        <x:f>Dashboard_Data!B8</x:f>
        <x:v>0.5654964836627789</x:v>
      </x:c>
      <x:c r="N4" s="282"/>
    </x:row>
    <x:row r="5" ht="24" customHeight="1">
      <x:c r="A5" s="209"/>
      <x:c r="B5" s="210"/>
      <x:c r="C5" s="211"/>
      <x:c r="D5" s="209"/>
      <x:c r="E5" s="210"/>
      <x:c r="F5" s="211"/>
      <x:c r="G5" s="252"/>
      <x:c r="H5" s="253"/>
      <x:c r="I5" s="254"/>
      <x:c r="J5" s="252"/>
      <x:c r="K5" s="253"/>
      <x:c r="L5" s="254"/>
      <x:c r="M5" s="283"/>
      <x:c r="N5" s="284"/>
    </x:row>
    <x:row r="23">
      <x:c r="H23" s="136" t="str">
        <x:v>Key Findings</x:v>
      </x:c>
      <x:c r="I23" s="136"/>
      <x:c r="J23" s="136"/>
      <x:c r="K23" s="136"/>
      <x:c r="L23" s="136"/>
      <x:c r="M23" s="136"/>
      <x:c r="N23" s="136"/>
    </x:row>
    <x:row r="24" ht="28" customHeight="1">
      <x:c r="H24" s="310" t="str">
        <x:v>Overall delivery performance: 42.7% of eligible shipments were on time; 57.3% were late.</x:v>
      </x:c>
      <x:c r="I24" s="311"/>
      <x:c r="J24" s="311"/>
      <x:c r="K24" s="311"/>
      <x:c r="L24" s="311"/>
      <x:c r="M24" s="311"/>
      <x:c r="N24" s="312"/>
    </x:row>
    <x:row r="25" ht="28" customHeight="1">
      <x:c r="H25" s="335"/>
      <x:c r="I25" s="336"/>
      <x:c r="J25" s="336"/>
      <x:c r="K25" s="336"/>
      <x:c r="L25" s="336"/>
      <x:c r="M25" s="336"/>
      <x:c r="N25" s="337"/>
    </x:row>
    <x:row r="26" ht="28" customHeight="1">
      <x:c r="H26" s="335" t="str">
        <x:v>Shipping Mode: Standard Class delivered 60.2% on time; Second Class delivered 20.2%; First Class delivered 0.0%.</x:v>
      </x:c>
      <x:c r="I26" s="336"/>
      <x:c r="J26" s="336"/>
      <x:c r="K26" s="336"/>
      <x:c r="L26" s="336"/>
      <x:c r="M26" s="336"/>
      <x:c r="N26" s="337"/>
    </x:row>
    <x:row r="27" ht="28" customHeight="1">
      <x:c r="H27" s="335"/>
      <x:c r="I27" s="336"/>
      <x:c r="J27" s="336"/>
      <x:c r="K27" s="336"/>
      <x:c r="L27" s="336"/>
      <x:c r="M27" s="336"/>
      <x:c r="N27" s="337"/>
    </x:row>
    <x:row r="28" ht="28" customHeight="1">
      <x:c r="H28" s="335" t="str">
        <x:v>Shipping Mode Impact: Standard Class was 59.7% of volume and 41.4% of late shipments; First + Second Class were 34.9% of volume but 54.1% of late shipments.</x:v>
      </x:c>
      <x:c r="I28" s="336"/>
      <x:c r="J28" s="336"/>
      <x:c r="K28" s="336"/>
      <x:c r="L28" s="336"/>
      <x:c r="M28" s="336"/>
      <x:c r="N28" s="337"/>
    </x:row>
    <x:row r="29">
      <x:c r="H29" s="313"/>
      <x:c r="I29" s="314"/>
      <x:c r="J29" s="314"/>
      <x:c r="K29" s="314"/>
      <x:c r="L29" s="314"/>
      <x:c r="M29" s="314"/>
      <x:c r="N29" s="315"/>
    </x:row>
    <x:row r="30">
      <x:c r="H30" s="310" t="str">
        <x:v>Persistent performance gap: Second Class remained near 20% OTD across 2015–2018 versus roughly 60% for Standard Class.</x:v>
      </x:c>
      <x:c r="I30" s="311"/>
      <x:c r="J30" s="311"/>
      <x:c r="K30" s="311"/>
      <x:c r="L30" s="311"/>
      <x:c r="M30" s="311"/>
      <x:c r="N30" s="312"/>
    </x:row>
    <x:row r="31">
      <x:c r="H31" s="313"/>
      <x:c r="I31" s="314"/>
      <x:c r="J31" s="314"/>
      <x:c r="K31" s="314"/>
      <x:c r="L31" s="314"/>
      <x:c r="M31" s="314"/>
      <x:c r="N31" s="315"/>
    </x:row>
    <x:row r="41">
      <x:c r="A41" s="344" t="str">
        <x:v>Portfolio note: transaction-level source data is excluded from this public copy. Supporting analytical outputs and methodology are retained for review.</x:v>
      </x:c>
      <x:c r="B41" s="344"/>
      <x:c r="C41" s="344"/>
      <x:c r="D41" s="344"/>
      <x:c r="E41" s="344"/>
      <x:c r="F41" s="344"/>
      <x:c r="G41" s="344"/>
      <x:c r="H41" s="344"/>
      <x:c r="I41" s="344"/>
      <x:c r="J41" s="344"/>
      <x:c r="K41" s="344"/>
      <x:c r="L41" s="344"/>
      <x:c r="M41" s="344"/>
      <x:c r="N41" s="344"/>
    </x:row>
    <x:row r="42">
      <x:c r="A42" s="344"/>
      <x:c r="B42" s="344"/>
      <x:c r="C42" s="344"/>
      <x:c r="D42" s="344"/>
      <x:c r="E42" s="344"/>
      <x:c r="F42" s="344"/>
      <x:c r="G42" s="344"/>
      <x:c r="H42" s="344"/>
      <x:c r="I42" s="344"/>
      <x:c r="J42" s="344"/>
      <x:c r="K42" s="344"/>
      <x:c r="L42" s="344"/>
      <x:c r="M42" s="344"/>
      <x:c r="N42" s="344"/>
    </x:row>
  </x:sheetData>
  <x:mergeCells>
    <x:mergeCell ref="A1:N1"/>
    <x:mergeCell ref="A3:C3"/>
    <x:mergeCell ref="A4:C5"/>
    <x:mergeCell ref="D3:F3"/>
    <x:mergeCell ref="D4:F5"/>
    <x:mergeCell ref="G3:I3"/>
    <x:mergeCell ref="G4:I5"/>
    <x:mergeCell ref="J3:L3"/>
    <x:mergeCell ref="J4:L5"/>
    <x:mergeCell ref="M3:N3"/>
    <x:mergeCell ref="M4:N5"/>
    <x:mergeCell ref="H23:N23"/>
    <x:mergeCell ref="A41:N42"/>
    <x:mergeCell ref="H24:N25"/>
    <x:mergeCell ref="H26:N27"/>
    <x:mergeCell ref="H28:N29"/>
    <x:mergeCell ref="H30:N31"/>
  </x:mergeCells>
  <x:pageMargins left="0.7" right="0.7" top="0.75" bottom="0.75" header="0.3" footer="0.3"/>
  <x:drawing xmlns:r="http://schemas.openxmlformats.org/officeDocument/2006/relationships" r:id="R64ead8baebbd4fdf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4" max="4" width="18" hidden="0" customWidth="1"/>
    <x:col min="5" max="5" width="17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5" hidden="0" customWidth="1"/>
    <x:col min="11" max="11" width="17" hidden="0" customWidth="1"/>
    <x:col min="13" max="13" width="14" hidden="0" customWidth="1"/>
    <x:col min="14" max="14" width="13" hidden="0" customWidth="1"/>
    <x:col min="16" max="16" width="23" hidden="0" customWidth="1"/>
    <x:col min="17" max="17" width="17" hidden="0" customWidth="1"/>
    <x:col min="18" max="18" width="13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</x:cols>
  <x:sheetData>
    <x:row r="1" ht="28" customHeight="1">
      <x:c r="A1" s="5" t="str">
        <x:v>Verified Analytical Outputs</x:v>
      </x:c>
      <x:c r="B1" s="5"/>
      <x:c r="C1" s="5"/>
      <x:c r="D1" s="5"/>
      <x:c r="E1" s="5"/>
      <x:c r="F1" s="5"/>
      <x:c r="G1" s="5"/>
      <x:c r="H1" s="5"/>
      <x:c r="I1" s="83"/>
      <x:c r="J1" s="83"/>
      <x:c r="K1" s="83"/>
      <x:c r="L1" s="83"/>
      <x:c r="M1" s="83"/>
      <x:c r="N1" s="83"/>
      <x:c r="O1" s="83"/>
      <x:c r="P1" s="83"/>
      <x:c r="Q1" s="83"/>
      <x:c r="R1" s="83"/>
      <x:c r="S1" s="83"/>
      <x:c r="T1" s="83"/>
      <x:c r="U1" s="83"/>
      <x:c r="V1" s="83"/>
      <x:c r="W1" s="83"/>
      <x:c r="X1" s="83"/>
      <x:c r="Y1" s="83"/>
    </x:row>
    <x:row r="2">
      <x:c r="A2" s="83"/>
      <x:c r="B2" s="83"/>
      <x:c r="C2" s="83"/>
      <x:c r="D2" s="83"/>
      <x:c r="E2" s="83"/>
      <x:c r="F2" s="83"/>
      <x:c r="G2" s="83"/>
      <x:c r="H2" s="83"/>
      <x:c r="I2" s="83"/>
      <x:c r="J2" s="83"/>
      <x:c r="K2" s="83"/>
      <x:c r="L2" s="83"/>
      <x:c r="M2" s="83"/>
      <x:c r="N2" s="83"/>
      <x:c r="O2" s="83"/>
      <x:c r="P2" s="83"/>
      <x:c r="Q2" s="83"/>
      <x:c r="R2" s="83"/>
      <x:c r="S2" s="83"/>
      <x:c r="T2" s="83"/>
      <x:c r="U2" s="83"/>
      <x:c r="V2" s="83"/>
      <x:c r="W2" s="83"/>
      <x:c r="X2" s="83"/>
      <x:c r="Y2" s="83"/>
    </x:row>
    <x:row r="3">
      <x:c r="A3" s="13" t="str">
        <x:v>KPI</x:v>
      </x:c>
      <x:c r="B3" s="13" t="str">
        <x:v>Value</x:v>
      </x:c>
      <x:c r="C3" s="83"/>
      <x:c r="D3" s="13" t="str">
        <x:v>Shipping Mode</x:v>
      </x:c>
      <x:c r="E3" s="13" t="str">
        <x:v>Eligible Shipments</x:v>
      </x:c>
      <x:c r="F3" s="13" t="str">
        <x:v>Volume Share</x:v>
      </x:c>
      <x:c r="G3" s="13" t="str">
        <x:v>On-Time Rate</x:v>
      </x:c>
      <x:c r="H3" s="13" t="str">
        <x:v>Late Rate</x:v>
      </x:c>
      <x:c r="I3" s="13" t="str">
        <x:v>Late Shipments</x:v>
      </x:c>
      <x:c r="J3" s="13" t="str">
        <x:v>Late Contribution</x:v>
      </x:c>
      <x:c r="K3" s="13" t="str">
        <x:v>Avg Variance (Days)</x:v>
      </x:c>
      <x:c r="L3" s="83"/>
      <x:c r="M3" s="13" t="str">
        <x:v>Month</x:v>
      </x:c>
      <x:c r="N3" s="13" t="str">
        <x:v>On-Time Rate</x:v>
      </x:c>
      <x:c r="O3" s="83"/>
      <x:c r="P3" s="13" t="str">
        <x:v>Category</x:v>
      </x:c>
      <x:c r="Q3" s="13" t="str">
        <x:v>Eligible Shipments</x:v>
      </x:c>
      <x:c r="R3" s="13" t="str">
        <x:v>On-Time Rate</x:v>
      </x:c>
      <x:c r="S3" s="83"/>
      <x:c r="T3" s="13" t="str">
        <x:v>Year</x:v>
      </x:c>
      <x:c r="U3" s="13" t="str">
        <x:v>First Class</x:v>
      </x:c>
      <x:c r="V3" s="13" t="str">
        <x:v>Same Day</x:v>
      </x:c>
      <x:c r="W3" s="13" t="str">
        <x:v>Second Class</x:v>
      </x:c>
      <x:c r="X3" s="13" t="str">
        <x:v>Standard Class</x:v>
      </x:c>
      <x:c r="Y3" s="13" t="str">
        <x:v>Overall</x:v>
      </x:c>
    </x:row>
    <x:row r="4">
      <x:c r="A4" s="84" t="str">
        <x:v>Total Transactions</x:v>
      </x:c>
      <x:c r="B4" s="85" t="n">
        <x:v>180519</x:v>
      </x:c>
      <x:c r="C4" s="83"/>
      <x:c r="D4" s="86" t="str">
        <x:v>First Class</x:v>
      </x:c>
      <x:c r="E4" s="87" t="n">
        <x:v>26513</x:v>
      </x:c>
      <x:c r="F4" s="88" t="n">
        <x:v>0.15346279628396955</x:v>
      </x:c>
      <x:c r="G4" s="88" t="n">
        <x:v>0</x:v>
      </x:c>
      <x:c r="H4" s="88" t="n">
        <x:v>1</x:v>
      </x:c>
      <x:c r="I4" s="88" t="n">
        <x:v>26513</x:v>
      </x:c>
      <x:c r="J4" s="87" t="n">
        <x:v>0.2678703133051113</x:v>
      </x:c>
      <x:c r="K4" s="89" t="n">
        <x:v>1</x:v>
      </x:c>
      <x:c r="L4" s="83"/>
      <x:c r="M4" s="90" t="n">
        <x:v>42005</x:v>
      </x:c>
      <x:c r="N4" s="91" t="n">
        <x:v>0.45414266725742136</x:v>
      </x:c>
      <x:c r="O4" s="83"/>
      <x:c r="P4" s="86" t="str">
        <x:v>Cleats</x:v>
      </x:c>
      <x:c r="Q4" s="87" t="n">
        <x:v>23514</x:v>
      </x:c>
      <x:c r="R4" s="91" t="n">
        <x:v>0.42604405885855234</x:v>
      </x:c>
      <x:c r="S4" s="83"/>
      <x:c r="T4" s="86" t="str">
        <x:v>2015</x:v>
      </x:c>
      <x:c r="U4" s="88" t="n">
        <x:v>0</x:v>
      </x:c>
      <x:c r="V4" s="88" t="n">
        <x:v>0.5294492199936326</x:v>
      </x:c>
      <x:c r="W4" s="88" t="n">
        <x:v>0.19837986901068597</x:v>
      </x:c>
      <x:c r="X4" s="88" t="n">
        <x:v>0.6052601841911972</x:v>
      </x:c>
      <x:c r="Y4" s="91" t="n">
        <x:v>0.42794539046019014</x:v>
      </x:c>
    </x:row>
    <x:row r="5">
      <x:c r="A5" s="92" t="str">
        <x:v>Eligible Shipments</x:v>
      </x:c>
      <x:c r="B5" s="93" t="n">
        <x:v>172765</x:v>
      </x:c>
      <x:c r="C5" s="83"/>
      <x:c r="D5" s="94" t="str">
        <x:v>Same Day</x:v>
      </x:c>
      <x:c r="E5" s="95" t="n">
        <x:v>9293</x:v>
      </x:c>
      <x:c r="F5" s="96" t="n">
        <x:v>0.0537898301160536</x:v>
      </x:c>
      <x:c r="G5" s="96" t="n">
        <x:v>0.5207145163025934</x:v>
      </x:c>
      <x:c r="H5" s="96" t="n">
        <x:v>0.47928548369740664</x:v>
      </x:c>
      <x:c r="I5" s="96" t="n">
        <x:v>4454</x:v>
      </x:c>
      <x:c r="J5" s="95" t="n">
        <x:v>0.0450003536175071</x:v>
      </x:c>
      <x:c r="K5" s="97" t="n">
        <x:v>0.48</x:v>
      </x:c>
      <x:c r="L5" s="83"/>
      <x:c r="M5" s="98" t="n">
        <x:v>42036</x:v>
      </x:c>
      <x:c r="N5" s="99" t="n">
        <x:v>0.4238891333040035</x:v>
      </x:c>
      <x:c r="O5" s="83"/>
      <x:c r="P5" s="94" t="str">
        <x:v>Men's Footwear</x:v>
      </x:c>
      <x:c r="Q5" s="95" t="n">
        <x:v>21263</x:v>
      </x:c>
      <x:c r="R5" s="99" t="n">
        <x:v>0.42994873724309834</x:v>
      </x:c>
      <x:c r="S5" s="83"/>
      <x:c r="T5" s="94" t="str">
        <x:v>2016</x:v>
      </x:c>
      <x:c r="U5" s="96" t="n">
        <x:v>0</x:v>
      </x:c>
      <x:c r="V5" s="96" t="n">
        <x:v>0.5521752357773045</x:v>
      </x:c>
      <x:c r="W5" s="96" t="n">
        <x:v>0.20166993269148845</x:v>
      </x:c>
      <x:c r="X5" s="96" t="n">
        <x:v>0.5982406340462606</x:v>
      </x:c>
      <x:c r="Y5" s="99" t="n">
        <x:v>0.4245940448801307</x:v>
      </x:c>
    </x:row>
    <x:row r="6">
      <x:c r="A6" s="92" t="str">
        <x:v>On-Time Rate</x:v>
      </x:c>
      <x:c r="B6" s="99" t="n">
        <x:v>0.4271003964923451</x:v>
      </x:c>
      <x:c r="C6" s="83"/>
      <x:c r="D6" s="94" t="str">
        <x:v>Second Class</x:v>
      </x:c>
      <x:c r="E6" s="95" t="n">
        <x:v>33806</x:v>
      </x:c>
      <x:c r="F6" s="96" t="n">
        <x:v>0.19567620756518972</x:v>
      </x:c>
      <x:c r="G6" s="96" t="n">
        <x:v>0.20170975566467492</x:v>
      </x:c>
      <x:c r="H6" s="96" t="n">
        <x:v>0.7982902443353251</x:v>
      </x:c>
      <x:c r="I6" s="96" t="n">
        <x:v>26987</x:v>
      </x:c>
      <x:c r="J6" s="95" t="n">
        <x:v>0.2726593046869475</x:v>
      </x:c>
      <x:c r="K6" s="97" t="n">
        <x:v>1.99</x:v>
      </x:c>
      <x:c r="L6" s="83"/>
      <x:c r="M6" s="98" t="n">
        <x:v>42064</x:v>
      </x:c>
      <x:c r="N6" s="99" t="n">
        <x:v>0.4174050009844458</x:v>
      </x:c>
      <x:c r="O6" s="83"/>
      <x:c r="P6" s="94" t="str">
        <x:v>Women's Apparel</x:v>
      </x:c>
      <x:c r="Q6" s="95" t="n">
        <x:v>20116</x:v>
      </x:c>
      <x:c r="R6" s="99" t="n">
        <x:v>0.42950884867766953</x:v>
      </x:c>
      <x:c r="S6" s="83"/>
      <x:c r="T6" s="94" t="str">
        <x:v>2017</x:v>
      </x:c>
      <x:c r="U6" s="96" t="n">
        <x:v>0</x:v>
      </x:c>
      <x:c r="V6" s="96" t="n">
        <x:v>0.4720203488372093</x:v>
      </x:c>
      <x:c r="W6" s="96" t="n">
        <x:v>0.20662729001902091</x:v>
      </x:c>
      <x:c r="X6" s="96" t="n">
        <x:v>0.6046911497534389</x:v>
      </x:c>
      <x:c r="Y6" s="99" t="n">
        <x:v>0.42989449003517</x:v>
      </x:c>
    </x:row>
    <x:row r="7">
      <x:c r="A7" s="92" t="str">
        <x:v>Late Rate</x:v>
      </x:c>
      <x:c r="B7" s="99" t="n">
        <x:v>0.5728996035076549</x:v>
      </x:c>
      <x:c r="C7" s="83"/>
      <x:c r="D7" s="100" t="str">
        <x:v>Standard Class</x:v>
      </x:c>
      <x:c r="E7" s="101" t="n">
        <x:v>103153</x:v>
      </x:c>
      <x:c r="F7" s="102" t="n">
        <x:v>0.5970711660347872</x:v>
      </x:c>
      <x:c r="G7" s="102" t="n">
        <x:v>0.6023091912014192</x:v>
      </x:c>
      <x:c r="H7" s="102" t="n">
        <x:v>0.39769080879858076</x:v>
      </x:c>
      <x:c r="I7" s="102" t="n">
        <x:v>41023</x:v>
      </x:c>
      <x:c r="J7" s="101" t="n">
        <x:v>0.4144700283904341</x:v>
      </x:c>
      <x:c r="K7" s="103" t="n">
        <x:v>-0.01</x:v>
      </x:c>
      <x:c r="L7" s="83"/>
      <x:c r="M7" s="98" t="n">
        <x:v>42095</x:v>
      </x:c>
      <x:c r="N7" s="99" t="n">
        <x:v>0.4446934202485231</x:v>
      </x:c>
      <x:c r="O7" s="83"/>
      <x:c r="P7" s="94" t="str">
        <x:v>Indoor/Outdoor Games</x:v>
      </x:c>
      <x:c r="Q7" s="95" t="n">
        <x:v>18470</x:v>
      </x:c>
      <x:c r="R7" s="99" t="n">
        <x:v>0.4279913373037358</x:v>
      </x:c>
      <x:c r="S7" s="83"/>
      <x:c r="T7" s="94" t="str">
        <x:v>2018 (partial)</x:v>
      </x:c>
      <x:c r="U7" s="96" t="n">
        <x:v>0</x:v>
      </x:c>
      <x:c r="V7" s="96" t="n">
        <x:v>0.5486725663716814</x:v>
      </x:c>
      <x:c r="W7" s="96" t="n">
        <x:v>0.18067226890756302</x:v>
      </x:c>
      <x:c r="X7" s="96" t="n">
        <x:v>0.5777777777777777</x:v>
      </x:c>
      <x:c r="Y7" s="99" t="n">
        <x:v>0.4082710074791025</x:v>
      </x:c>
    </x:row>
    <x:row r="8">
      <x:c r="A8" s="104" t="str">
        <x:v>Average Variance (Days)</x:v>
      </x:c>
      <x:c r="B8" s="103" t="n">
        <x:v>0.5654964836627789</x:v>
      </x:c>
      <x:c r="C8" s="83"/>
      <x:c r="D8" s="83"/>
      <x:c r="E8" s="83"/>
      <x:c r="F8" s="83"/>
      <x:c r="G8" s="83"/>
      <x:c r="H8" s="83"/>
      <x:c r="I8" s="83"/>
      <x:c r="J8" s="83"/>
      <x:c r="K8" s="83"/>
      <x:c r="L8" s="83"/>
      <x:c r="M8" s="98" t="n">
        <x:v>42125</x:v>
      </x:c>
      <x:c r="N8" s="99" t="n">
        <x:v>0.4169800118741342</x:v>
      </x:c>
      <x:c r="O8" s="83"/>
      <x:c r="P8" s="94" t="str">
        <x:v>Fishing</x:v>
      </x:c>
      <x:c r="Q8" s="95" t="n">
        <x:v>16595</x:v>
      </x:c>
      <x:c r="R8" s="99" t="n">
        <x:v>0.42657426935824044</x:v>
      </x:c>
      <x:c r="S8" s="83"/>
      <x:c r="T8" s="100" t="str">
        <x:v>Total</x:v>
      </x:c>
      <x:c r="U8" s="102" t="n">
        <x:v>0</x:v>
      </x:c>
      <x:c r="V8" s="102" t="n">
        <x:v>0.5207145163025934</x:v>
      </x:c>
      <x:c r="W8" s="102" t="n">
        <x:v>0.20170975566467492</x:v>
      </x:c>
      <x:c r="X8" s="102" t="n">
        <x:v>0.6023091912014192</x:v>
      </x:c>
      <x:c r="Y8" s="105" t="n">
        <x:v>0.4271003964923451</x:v>
      </x:c>
    </x:row>
    <x:row r="9">
      <x:c r="A9" s="83"/>
      <x:c r="B9" s="83"/>
      <x:c r="C9" s="83"/>
      <x:c r="D9" s="83"/>
      <x:c r="E9" s="83"/>
      <x:c r="F9" s="83"/>
      <x:c r="G9" s="83"/>
      <x:c r="H9" s="83"/>
      <x:c r="I9" s="83"/>
      <x:c r="J9" s="83"/>
      <x:c r="K9" s="83"/>
      <x:c r="L9" s="83"/>
      <x:c r="M9" s="98" t="n">
        <x:v>42156</x:v>
      </x:c>
      <x:c r="N9" s="99" t="n">
        <x:v>0.42996941896024465</x:v>
      </x:c>
      <x:c r="O9" s="83"/>
      <x:c r="P9" s="94" t="str">
        <x:v>Water Sports</x:v>
      </x:c>
      <x:c r="Q9" s="95" t="n">
        <x:v>14880</x:v>
      </x:c>
      <x:c r="R9" s="99" t="n">
        <x:v>0.4276209677419355</x:v>
      </x:c>
      <x:c r="S9" s="83"/>
      <x:c r="T9" s="83"/>
      <x:c r="U9" s="83"/>
      <x:c r="V9" s="83"/>
      <x:c r="W9" s="83"/>
      <x:c r="X9" s="83"/>
      <x:c r="Y9" s="83"/>
    </x:row>
    <x:row r="10">
      <x:c r="A10" s="83"/>
      <x:c r="B10" s="83"/>
      <x:c r="C10" s="83"/>
      <x:c r="D10" s="83"/>
      <x:c r="E10" s="83"/>
      <x:c r="F10" s="83"/>
      <x:c r="G10" s="83"/>
      <x:c r="H10" s="83"/>
      <x:c r="I10" s="83"/>
      <x:c r="J10" s="83"/>
      <x:c r="K10" s="83"/>
      <x:c r="L10" s="83"/>
      <x:c r="M10" s="98" t="n">
        <x:v>42186</x:v>
      </x:c>
      <x:c r="N10" s="99" t="n">
        <x:v>0.43005380476556493</x:v>
      </x:c>
      <x:c r="O10" s="83"/>
      <x:c r="P10" s="94" t="str">
        <x:v>Camping &amp; Hiking</x:v>
      </x:c>
      <x:c r="Q10" s="95" t="n">
        <x:v>13157</x:v>
      </x:c>
      <x:c r="R10" s="99" t="n">
        <x:v>0.4309493045527096</x:v>
      </x:c>
      <x:c r="S10" s="83"/>
      <x:c r="T10" s="83"/>
      <x:c r="U10" s="83"/>
      <x:c r="V10" s="83"/>
      <x:c r="W10" s="83"/>
      <x:c r="X10" s="83"/>
      <x:c r="Y10" s="83"/>
    </x:row>
    <x:row r="11" ht="32" customHeight="1">
      <x:c r="A11" s="106" t="str">
        <x:v>Portfolio note: transaction-level source data is intentionally excluded; these are the verified analytical outputs used to build the dashboard.</x:v>
      </x:c>
      <x:c r="B11" s="106"/>
      <x:c r="C11" s="106"/>
      <x:c r="D11" s="106"/>
      <x:c r="E11" s="106"/>
      <x:c r="F11" s="106"/>
      <x:c r="G11" s="106"/>
      <x:c r="H11" s="106"/>
      <x:c r="I11" s="83"/>
      <x:c r="J11" s="83"/>
      <x:c r="K11" s="83"/>
      <x:c r="L11" s="83"/>
      <x:c r="M11" s="98" t="n">
        <x:v>42217</x:v>
      </x:c>
      <x:c r="N11" s="99" t="n">
        <x:v>0.42436385493889</x:v>
      </x:c>
      <x:c r="O11" s="83"/>
      <x:c r="P11" s="94" t="str">
        <x:v>Cardio Equipment</x:v>
      </x:c>
      <x:c r="Q11" s="95" t="n">
        <x:v>11948</x:v>
      </x:c>
      <x:c r="R11" s="99" t="n">
        <x:v>0.43044861064613327</x:v>
      </x:c>
      <x:c r="S11" s="83"/>
      <x:c r="T11" s="83"/>
      <x:c r="U11" s="83"/>
      <x:c r="V11" s="83"/>
      <x:c r="W11" s="83"/>
      <x:c r="X11" s="83"/>
      <x:c r="Y11" s="83"/>
    </x:row>
    <x:row r="12">
      <x:c r="A12" s="83"/>
      <x:c r="B12" s="83"/>
      <x:c r="C12" s="83"/>
      <x:c r="D12" s="83"/>
      <x:c r="E12" s="83"/>
      <x:c r="F12" s="83"/>
      <x:c r="G12" s="83"/>
      <x:c r="H12" s="83"/>
      <x:c r="I12" s="83"/>
      <x:c r="J12" s="83"/>
      <x:c r="K12" s="83"/>
      <x:c r="L12" s="83"/>
      <x:c r="M12" s="98" t="n">
        <x:v>42248</x:v>
      </x:c>
      <x:c r="N12" s="99" t="n">
        <x:v>0.40506838294448916</x:v>
      </x:c>
      <x:c r="O12" s="83"/>
      <x:c r="P12" s="94" t="str">
        <x:v>Shop By Sport</x:v>
      </x:c>
      <x:c r="Q12" s="95" t="n">
        <x:v>10515</x:v>
      </x:c>
      <x:c r="R12" s="99" t="n">
        <x:v>0.42387066096053255</x:v>
      </x:c>
      <x:c r="S12" s="83"/>
      <x:c r="T12" s="83"/>
      <x:c r="U12" s="83"/>
      <x:c r="V12" s="83"/>
      <x:c r="W12" s="83"/>
      <x:c r="X12" s="83"/>
      <x:c r="Y12" s="83"/>
    </x:row>
    <x:row r="13">
      <x:c r="A13" s="83"/>
      <x:c r="B13" s="83"/>
      <x:c r="C13" s="83"/>
      <x:c r="D13" s="83"/>
      <x:c r="E13" s="83"/>
      <x:c r="F13" s="83"/>
      <x:c r="G13" s="83"/>
      <x:c r="H13" s="83"/>
      <x:c r="I13" s="83"/>
      <x:c r="J13" s="83"/>
      <x:c r="K13" s="83"/>
      <x:c r="L13" s="83"/>
      <x:c r="M13" s="98" t="n">
        <x:v>42278</x:v>
      </x:c>
      <x:c r="N13" s="99" t="n">
        <x:v>0.41907051282051283</x:v>
      </x:c>
      <x:c r="O13" s="83"/>
      <x:c r="P13" s="100" t="str">
        <x:v>Electronics</x:v>
      </x:c>
      <x:c r="Q13" s="101" t="n">
        <x:v>3024</x:v>
      </x:c>
      <x:c r="R13" s="105" t="n">
        <x:v>0.4146825396825397</x:v>
      </x:c>
      <x:c r="S13" s="83"/>
      <x:c r="T13" s="83"/>
      <x:c r="U13" s="83"/>
      <x:c r="V13" s="83"/>
      <x:c r="W13" s="83"/>
      <x:c r="X13" s="83"/>
      <x:c r="Y13" s="83"/>
    </x:row>
    <x:row r="14">
      <x:c r="A14" s="13" t="str">
        <x:v>Shipping Mode</x:v>
      </x:c>
      <x:c r="B14" s="13" t="str">
        <x:v>On-Time Rate</x:v>
      </x:c>
      <x:c r="C14" s="83"/>
      <x:c r="D14" s="13" t="str">
        <x:v>Month</x:v>
      </x:c>
      <x:c r="E14" s="13" t="str">
        <x:v>On-Time Rate</x:v>
      </x:c>
      <x:c r="F14" s="83"/>
      <x:c r="G14" s="13" t="str">
        <x:v>Category</x:v>
      </x:c>
      <x:c r="H14" s="13" t="str">
        <x:v>On-Time Rate</x:v>
      </x:c>
      <x:c r="I14" s="83"/>
      <x:c r="J14" s="83"/>
      <x:c r="K14" s="83"/>
      <x:c r="L14" s="83"/>
      <x:c r="M14" s="98" t="n">
        <x:v>42309</x:v>
      </x:c>
      <x:c r="N14" s="99" t="n">
        <x:v>0.44091360476663355</x:v>
      </x:c>
      <x:c r="O14" s="83"/>
      <x:c r="P14" s="83"/>
      <x:c r="Q14" s="83"/>
      <x:c r="R14" s="83"/>
      <x:c r="S14" s="83"/>
      <x:c r="T14" s="83"/>
      <x:c r="U14" s="83"/>
      <x:c r="V14" s="83"/>
      <x:c r="W14" s="83"/>
      <x:c r="X14" s="83"/>
      <x:c r="Y14" s="83"/>
    </x:row>
    <x:row r="15">
      <x:c r="A15" s="83" t="str">
        <x:v>First Class</x:v>
      </x:c>
      <x:c r="B15" s="96" t="n">
        <x:v>0</x:v>
      </x:c>
      <x:c r="C15" s="83"/>
      <x:c r="D15" s="83" t="str">
        <x:v>Jan-15</x:v>
      </x:c>
      <x:c r="E15" s="96" t="n">
        <x:v>0.45414266725742136</x:v>
      </x:c>
      <x:c r="F15" s="83"/>
      <x:c r="G15" s="83" t="str">
        <x:v>Cleats</x:v>
      </x:c>
      <x:c r="H15" s="355" t="n">
        <x:v>42.604405885855236</x:v>
      </x:c>
      <x:c r="I15" s="83"/>
      <x:c r="J15" s="83"/>
      <x:c r="K15" s="83"/>
      <x:c r="L15" s="83"/>
      <x:c r="M15" s="98" t="n">
        <x:v>42339</x:v>
      </x:c>
      <x:c r="N15" s="99" t="n">
        <x:v>0.4311890838206628</x:v>
      </x:c>
      <x:c r="O15" s="83"/>
      <x:c r="P15" s="83"/>
      <x:c r="Q15" s="83"/>
      <x:c r="R15" s="83"/>
      <x:c r="S15" s="83"/>
      <x:c r="T15" s="83"/>
      <x:c r="U15" s="83"/>
      <x:c r="V15" s="83"/>
      <x:c r="W15" s="83"/>
      <x:c r="X15" s="83"/>
      <x:c r="Y15" s="83"/>
    </x:row>
    <x:row r="16">
      <x:c r="A16" s="83" t="str">
        <x:v>Same Day</x:v>
      </x:c>
      <x:c r="B16" s="96" t="n">
        <x:v>0.5207145163025934</x:v>
      </x:c>
      <x:c r="C16" s="83"/>
      <x:c r="D16" s="83" t="str">
        <x:v>Feb-15</x:v>
      </x:c>
      <x:c r="E16" s="96" t="n">
        <x:v>0.4238891333040035</x:v>
      </x:c>
      <x:c r="F16" s="83"/>
      <x:c r="G16" s="83" t="str">
        <x:v>Men's Footwear</x:v>
      </x:c>
      <x:c r="H16" s="355" t="n">
        <x:v>42.994873724309834</x:v>
      </x:c>
      <x:c r="I16" s="83"/>
      <x:c r="J16" s="83"/>
      <x:c r="K16" s="83"/>
      <x:c r="L16" s="83"/>
      <x:c r="M16" s="98" t="n">
        <x:v>42370</x:v>
      </x:c>
      <x:c r="N16" s="99" t="n">
        <x:v>0.4196359411309063</x:v>
      </x:c>
      <x:c r="O16" s="83"/>
      <x:c r="P16" s="83"/>
      <x:c r="Q16" s="83"/>
      <x:c r="R16" s="83"/>
      <x:c r="S16" s="83"/>
      <x:c r="T16" s="83"/>
      <x:c r="U16" s="83"/>
      <x:c r="V16" s="83"/>
      <x:c r="W16" s="83"/>
      <x:c r="X16" s="83"/>
      <x:c r="Y16" s="83"/>
    </x:row>
    <x:row r="17">
      <x:c r="A17" s="83" t="str">
        <x:v>Second Class</x:v>
      </x:c>
      <x:c r="B17" s="96" t="n">
        <x:v>0.20170975566467492</x:v>
      </x:c>
      <x:c r="C17" s="83"/>
      <x:c r="D17" s="83" t="str">
        <x:v>Mar-15</x:v>
      </x:c>
      <x:c r="E17" s="96" t="n">
        <x:v>0.4174050009844458</x:v>
      </x:c>
      <x:c r="F17" s="83"/>
      <x:c r="G17" s="83" t="str">
        <x:v>Women's Apparel</x:v>
      </x:c>
      <x:c r="H17" s="355" t="n">
        <x:v>42.95088486776695</x:v>
      </x:c>
      <x:c r="I17" s="83"/>
      <x:c r="J17" s="83"/>
      <x:c r="K17" s="83"/>
      <x:c r="L17" s="83"/>
      <x:c r="M17" s="98" t="n">
        <x:v>42401</x:v>
      </x:c>
      <x:c r="N17" s="99" t="n">
        <x:v>0.42921204356181936</x:v>
      </x:c>
      <x:c r="O17" s="83"/>
      <x:c r="P17" s="83"/>
      <x:c r="Q17" s="83"/>
      <x:c r="R17" s="83"/>
      <x:c r="S17" s="83"/>
      <x:c r="T17" s="83"/>
      <x:c r="U17" s="83"/>
      <x:c r="V17" s="83"/>
      <x:c r="W17" s="83"/>
      <x:c r="X17" s="83"/>
      <x:c r="Y17" s="83"/>
    </x:row>
    <x:row r="18">
      <x:c r="A18" s="83" t="str">
        <x:v>Standard Class</x:v>
      </x:c>
      <x:c r="B18" s="96" t="n">
        <x:v>0.6023091912014192</x:v>
      </x:c>
      <x:c r="C18" s="83"/>
      <x:c r="D18" s="83" t="str">
        <x:v>Apr-15</x:v>
      </x:c>
      <x:c r="E18" s="96" t="n">
        <x:v>0.4446934202485231</x:v>
      </x:c>
      <x:c r="F18" s="83"/>
      <x:c r="G18" s="83" t="str">
        <x:v>Indoor/Outdoor Games</x:v>
      </x:c>
      <x:c r="H18" s="355" t="n">
        <x:v>42.799133730373576</x:v>
      </x:c>
      <x:c r="I18" s="83"/>
      <x:c r="J18" s="83"/>
      <x:c r="K18" s="83"/>
      <x:c r="L18" s="83"/>
      <x:c r="M18" s="98" t="n">
        <x:v>42430</x:v>
      </x:c>
      <x:c r="N18" s="99" t="n">
        <x:v>0.4290258449304175</x:v>
      </x:c>
      <x:c r="O18" s="83"/>
      <x:c r="P18" s="83"/>
      <x:c r="Q18" s="83"/>
      <x:c r="R18" s="83"/>
      <x:c r="S18" s="83"/>
      <x:c r="T18" s="83"/>
      <x:c r="U18" s="83"/>
      <x:c r="V18" s="83"/>
      <x:c r="W18" s="83"/>
      <x:c r="X18" s="83"/>
      <x:c r="Y18" s="83"/>
    </x:row>
    <x:row r="19">
      <x:c r="A19" s="83"/>
      <x:c r="B19" s="83"/>
      <x:c r="C19" s="83"/>
      <x:c r="D19" s="83" t="str">
        <x:v>May-15</x:v>
      </x:c>
      <x:c r="E19" s="96" t="n">
        <x:v>0.4169800118741342</x:v>
      </x:c>
      <x:c r="F19" s="83"/>
      <x:c r="G19" s="83" t="str">
        <x:v>Fishing</x:v>
      </x:c>
      <x:c r="H19" s="355" t="n">
        <x:v>42.65742693582404</x:v>
      </x:c>
      <x:c r="I19" s="83"/>
      <x:c r="J19" s="83"/>
      <x:c r="K19" s="83"/>
      <x:c r="L19" s="83"/>
      <x:c r="M19" s="98" t="n">
        <x:v>42461</x:v>
      </x:c>
      <x:c r="N19" s="99" t="n">
        <x:v>0.414742810854597</x:v>
      </x:c>
      <x:c r="O19" s="83"/>
      <x:c r="P19" s="83"/>
      <x:c r="Q19" s="83"/>
      <x:c r="R19" s="83"/>
      <x:c r="S19" s="83"/>
      <x:c r="T19" s="83"/>
      <x:c r="U19" s="83"/>
      <x:c r="V19" s="83"/>
      <x:c r="W19" s="83"/>
      <x:c r="X19" s="83"/>
      <x:c r="Y19" s="83"/>
    </x:row>
    <x:row r="20">
      <x:c r="A20" s="83"/>
      <x:c r="B20" s="83"/>
      <x:c r="C20" s="83"/>
      <x:c r="D20" s="83" t="str">
        <x:v>Jun-15</x:v>
      </x:c>
      <x:c r="E20" s="96" t="n">
        <x:v>0.42996941896024465</x:v>
      </x:c>
      <x:c r="F20" s="83"/>
      <x:c r="G20" s="83" t="str">
        <x:v>Water Sports</x:v>
      </x:c>
      <x:c r="H20" s="355" t="n">
        <x:v>42.762096774193544</x:v>
      </x:c>
      <x:c r="I20" s="83"/>
      <x:c r="J20" s="83"/>
      <x:c r="K20" s="83"/>
      <x:c r="L20" s="83"/>
      <x:c r="M20" s="98" t="n">
        <x:v>42491</x:v>
      </x:c>
      <x:c r="N20" s="99" t="n">
        <x:v>0.42423629374873595</x:v>
      </x:c>
      <x:c r="O20" s="83"/>
      <x:c r="P20" s="83"/>
      <x:c r="Q20" s="83"/>
      <x:c r="R20" s="83"/>
      <x:c r="S20" s="83"/>
      <x:c r="T20" s="83"/>
      <x:c r="U20" s="83"/>
      <x:c r="V20" s="83"/>
      <x:c r="W20" s="83"/>
      <x:c r="X20" s="83"/>
      <x:c r="Y20" s="83"/>
    </x:row>
    <x:row r="21">
      <x:c r="A21" s="83"/>
      <x:c r="B21" s="83"/>
      <x:c r="C21" s="83"/>
      <x:c r="D21" s="83" t="str">
        <x:v>Jul-15</x:v>
      </x:c>
      <x:c r="E21" s="96" t="n">
        <x:v>0.43005380476556493</x:v>
      </x:c>
      <x:c r="F21" s="83"/>
      <x:c r="G21" s="83" t="str">
        <x:v>Camping &amp; Hiking</x:v>
      </x:c>
      <x:c r="H21" s="355" t="n">
        <x:v>43.094930455270955</x:v>
      </x:c>
      <x:c r="I21" s="83"/>
      <x:c r="J21" s="83"/>
      <x:c r="K21" s="83"/>
      <x:c r="L21" s="83"/>
      <x:c r="M21" s="98" t="n">
        <x:v>42522</x:v>
      </x:c>
      <x:c r="N21" s="99" t="n">
        <x:v>0.40077821011673154</x:v>
      </x:c>
      <x:c r="O21" s="83"/>
      <x:c r="P21" s="83"/>
      <x:c r="Q21" s="83"/>
      <x:c r="R21" s="83"/>
      <x:c r="S21" s="83"/>
      <x:c r="T21" s="83"/>
      <x:c r="U21" s="83"/>
      <x:c r="V21" s="83"/>
      <x:c r="W21" s="83"/>
      <x:c r="X21" s="83"/>
      <x:c r="Y21" s="83"/>
    </x:row>
    <x:row r="22">
      <x:c r="A22" s="83"/>
      <x:c r="B22" s="83"/>
      <x:c r="C22" s="83"/>
      <x:c r="D22" s="83" t="str">
        <x:v>Aug-15</x:v>
      </x:c>
      <x:c r="E22" s="96" t="n">
        <x:v>0.42436385493889</x:v>
      </x:c>
      <x:c r="F22" s="83"/>
      <x:c r="G22" s="83" t="str">
        <x:v>Cardio Equipment</x:v>
      </x:c>
      <x:c r="H22" s="355" t="n">
        <x:v>43.04486106461333</x:v>
      </x:c>
      <x:c r="I22" s="83"/>
      <x:c r="J22" s="83"/>
      <x:c r="K22" s="83"/>
      <x:c r="L22" s="83"/>
      <x:c r="M22" s="98" t="n">
        <x:v>42552</x:v>
      </x:c>
      <x:c r="N22" s="99" t="n">
        <x:v>0.44980965738328993</x:v>
      </x:c>
      <x:c r="O22" s="83"/>
      <x:c r="P22" s="83"/>
      <x:c r="Q22" s="83"/>
      <x:c r="R22" s="83"/>
      <x:c r="S22" s="83"/>
      <x:c r="T22" s="83"/>
      <x:c r="U22" s="83"/>
      <x:c r="V22" s="83"/>
      <x:c r="W22" s="83"/>
      <x:c r="X22" s="83"/>
      <x:c r="Y22" s="83"/>
    </x:row>
    <x:row r="23">
      <x:c r="A23" s="83"/>
      <x:c r="B23" s="83"/>
      <x:c r="C23" s="83"/>
      <x:c r="D23" s="83" t="str">
        <x:v>Sep-15</x:v>
      </x:c>
      <x:c r="E23" s="96" t="n">
        <x:v>0.40506838294448916</x:v>
      </x:c>
      <x:c r="F23" s="83"/>
      <x:c r="G23" s="83" t="str">
        <x:v>Shop By Sport</x:v>
      </x:c>
      <x:c r="H23" s="355" t="n">
        <x:v>42.38706609605325</x:v>
      </x:c>
      <x:c r="I23" s="83"/>
      <x:c r="J23" s="83"/>
      <x:c r="K23" s="83"/>
      <x:c r="L23" s="83"/>
      <x:c r="M23" s="98" t="n">
        <x:v>42583</x:v>
      </x:c>
      <x:c r="N23" s="99" t="n">
        <x:v>0.42358934169278994</x:v>
      </x:c>
      <x:c r="O23" s="83"/>
      <x:c r="P23" s="83"/>
      <x:c r="Q23" s="83"/>
      <x:c r="R23" s="83"/>
      <x:c r="S23" s="83"/>
      <x:c r="T23" s="83"/>
      <x:c r="U23" s="83"/>
      <x:c r="V23" s="83"/>
      <x:c r="W23" s="83"/>
      <x:c r="X23" s="83"/>
      <x:c r="Y23" s="83"/>
    </x:row>
    <x:row r="24">
      <x:c r="A24" s="83"/>
      <x:c r="B24" s="83"/>
      <x:c r="C24" s="83"/>
      <x:c r="D24" s="83" t="str">
        <x:v>Oct-15</x:v>
      </x:c>
      <x:c r="E24" s="96" t="n">
        <x:v>0.41907051282051283</x:v>
      </x:c>
      <x:c r="F24" s="83"/>
      <x:c r="G24" s="83" t="str">
        <x:v>Electronics</x:v>
      </x:c>
      <x:c r="H24" s="355" t="n">
        <x:v>41.46825396825397</x:v>
      </x:c>
      <x:c r="I24" s="83"/>
      <x:c r="J24" s="83"/>
      <x:c r="K24" s="83"/>
      <x:c r="L24" s="83"/>
      <x:c r="M24" s="98" t="n">
        <x:v>42614</x:v>
      </x:c>
      <x:c r="N24" s="99" t="n">
        <x:v>0.43203688853247796</x:v>
      </x:c>
      <x:c r="O24" s="83"/>
      <x:c r="P24" s="83"/>
      <x:c r="Q24" s="83"/>
      <x:c r="R24" s="83"/>
      <x:c r="S24" s="83"/>
      <x:c r="T24" s="83"/>
      <x:c r="U24" s="83"/>
      <x:c r="V24" s="83"/>
      <x:c r="W24" s="83"/>
      <x:c r="X24" s="83"/>
      <x:c r="Y24" s="83"/>
    </x:row>
    <x:row r="25">
      <x:c r="A25" s="83"/>
      <x:c r="B25" s="83"/>
      <x:c r="C25" s="83"/>
      <x:c r="D25" s="83" t="str">
        <x:v>Nov-15</x:v>
      </x:c>
      <x:c r="E25" s="96" t="n">
        <x:v>0.44091360476663355</x:v>
      </x:c>
      <x:c r="F25" s="83"/>
      <x:c r="G25" s="83"/>
      <x:c r="H25" s="83"/>
      <x:c r="I25" s="83"/>
      <x:c r="J25" s="83"/>
      <x:c r="K25" s="83"/>
      <x:c r="L25" s="83"/>
      <x:c r="M25" s="98" t="n">
        <x:v>42644</x:v>
      </x:c>
      <x:c r="N25" s="99" t="n">
        <x:v>0.43431839847473785</x:v>
      </x:c>
      <x:c r="O25" s="83"/>
      <x:c r="P25" s="83"/>
      <x:c r="Q25" s="83"/>
      <x:c r="R25" s="83"/>
      <x:c r="S25" s="83"/>
      <x:c r="T25" s="83"/>
      <x:c r="U25" s="83"/>
      <x:c r="V25" s="83"/>
      <x:c r="W25" s="83"/>
      <x:c r="X25" s="83"/>
      <x:c r="Y25" s="83"/>
    </x:row>
    <x:row r="26">
      <x:c r="A26" s="83"/>
      <x:c r="B26" s="83"/>
      <x:c r="C26" s="83"/>
      <x:c r="D26" s="83" t="str">
        <x:v>Dec-15</x:v>
      </x:c>
      <x:c r="E26" s="96" t="n">
        <x:v>0.4311890838206628</x:v>
      </x:c>
      <x:c r="F26" s="83"/>
      <x:c r="G26" s="83"/>
      <x:c r="H26" s="83"/>
      <x:c r="I26" s="83"/>
      <x:c r="J26" s="83"/>
      <x:c r="K26" s="83"/>
      <x:c r="L26" s="83"/>
      <x:c r="M26" s="98" t="n">
        <x:v>42675</x:v>
      </x:c>
      <x:c r="N26" s="99" t="n">
        <x:v>0.4220146222586619</x:v>
      </x:c>
      <x:c r="O26" s="83"/>
      <x:c r="P26" s="83"/>
      <x:c r="Q26" s="83"/>
      <x:c r="R26" s="83"/>
      <x:c r="S26" s="83"/>
      <x:c r="T26" s="83"/>
      <x:c r="U26" s="83"/>
      <x:c r="V26" s="83"/>
      <x:c r="W26" s="83"/>
      <x:c r="X26" s="83"/>
      <x:c r="Y26" s="83"/>
    </x:row>
    <x:row r="27">
      <x:c r="A27" s="83"/>
      <x:c r="B27" s="83"/>
      <x:c r="C27" s="83"/>
      <x:c r="D27" s="83" t="str">
        <x:v>Jan-16</x:v>
      </x:c>
      <x:c r="E27" s="96" t="n">
        <x:v>0.4196359411309063</x:v>
      </x:c>
      <x:c r="F27" s="83"/>
      <x:c r="G27" s="83"/>
      <x:c r="H27" s="83"/>
      <x:c r="I27" s="83"/>
      <x:c r="J27" s="83"/>
      <x:c r="K27" s="83"/>
      <x:c r="L27" s="83"/>
      <x:c r="M27" s="98" t="n">
        <x:v>42705</x:v>
      </x:c>
      <x:c r="N27" s="99" t="n">
        <x:v>0.41520927490666143</x:v>
      </x:c>
      <x:c r="O27" s="83"/>
      <x:c r="P27" s="83"/>
      <x:c r="Q27" s="83"/>
      <x:c r="R27" s="83"/>
      <x:c r="S27" s="83"/>
      <x:c r="T27" s="83"/>
      <x:c r="U27" s="83"/>
      <x:c r="V27" s="83"/>
      <x:c r="W27" s="83"/>
      <x:c r="X27" s="83"/>
      <x:c r="Y27" s="83"/>
    </x:row>
    <x:row r="28">
      <x:c r="A28" s="83"/>
      <x:c r="B28" s="83"/>
      <x:c r="C28" s="83"/>
      <x:c r="D28" s="83" t="str">
        <x:v>Feb-16</x:v>
      </x:c>
      <x:c r="E28" s="96" t="n">
        <x:v>0.42921204356181936</x:v>
      </x:c>
      <x:c r="F28" s="83"/>
      <x:c r="G28" s="83"/>
      <x:c r="H28" s="83"/>
      <x:c r="I28" s="83"/>
      <x:c r="J28" s="83"/>
      <x:c r="K28" s="83"/>
      <x:c r="L28" s="83"/>
      <x:c r="M28" s="98" t="n">
        <x:v>42736</x:v>
      </x:c>
      <x:c r="N28" s="99" t="n">
        <x:v>0.44826900119379226</x:v>
      </x:c>
      <x:c r="O28" s="83"/>
      <x:c r="P28" s="83"/>
      <x:c r="Q28" s="83"/>
      <x:c r="R28" s="83"/>
      <x:c r="S28" s="83"/>
      <x:c r="T28" s="83"/>
      <x:c r="U28" s="83"/>
      <x:c r="V28" s="83"/>
      <x:c r="W28" s="83"/>
      <x:c r="X28" s="83"/>
      <x:c r="Y28" s="83"/>
    </x:row>
    <x:row r="29">
      <x:c r="A29" s="83"/>
      <x:c r="B29" s="83"/>
      <x:c r="C29" s="83"/>
      <x:c r="D29" s="83" t="str">
        <x:v>Mar-16</x:v>
      </x:c>
      <x:c r="E29" s="96" t="n">
        <x:v>0.4290258449304175</x:v>
      </x:c>
      <x:c r="F29" s="83"/>
      <x:c r="G29" s="83"/>
      <x:c r="H29" s="83"/>
      <x:c r="I29" s="83"/>
      <x:c r="J29" s="83"/>
      <x:c r="K29" s="83"/>
      <x:c r="L29" s="83"/>
      <x:c r="M29" s="98" t="n">
        <x:v>42767</x:v>
      </x:c>
      <x:c r="N29" s="99" t="n">
        <x:v>0.426612384829655</x:v>
      </x:c>
      <x:c r="O29" s="83"/>
      <x:c r="P29" s="83"/>
      <x:c r="Q29" s="83"/>
      <x:c r="R29" s="83"/>
      <x:c r="S29" s="83"/>
      <x:c r="T29" s="83"/>
      <x:c r="U29" s="83"/>
      <x:c r="V29" s="83"/>
      <x:c r="W29" s="83"/>
      <x:c r="X29" s="83"/>
      <x:c r="Y29" s="83"/>
    </x:row>
    <x:row r="30">
      <x:c r="A30" s="83"/>
      <x:c r="B30" s="83"/>
      <x:c r="C30" s="83"/>
      <x:c r="D30" s="83" t="str">
        <x:v>Apr-16</x:v>
      </x:c>
      <x:c r="E30" s="96" t="n">
        <x:v>0.414742810854597</x:v>
      </x:c>
      <x:c r="F30" s="83"/>
      <x:c r="G30" s="83"/>
      <x:c r="H30" s="83"/>
      <x:c r="I30" s="83"/>
      <x:c r="J30" s="83"/>
      <x:c r="K30" s="83"/>
      <x:c r="L30" s="83"/>
      <x:c r="M30" s="98" t="n">
        <x:v>42795</x:v>
      </x:c>
      <x:c r="N30" s="99" t="n">
        <x:v>0.41720304271503805</x:v>
      </x:c>
      <x:c r="O30" s="83"/>
      <x:c r="P30" s="83"/>
      <x:c r="Q30" s="83"/>
      <x:c r="R30" s="83"/>
      <x:c r="S30" s="83"/>
      <x:c r="T30" s="83"/>
      <x:c r="U30" s="83"/>
      <x:c r="V30" s="83"/>
      <x:c r="W30" s="83"/>
      <x:c r="X30" s="83"/>
      <x:c r="Y30" s="83"/>
    </x:row>
    <x:row r="31">
      <x:c r="A31" s="83"/>
      <x:c r="B31" s="83"/>
      <x:c r="C31" s="83"/>
      <x:c r="D31" s="83" t="str">
        <x:v>May-16</x:v>
      </x:c>
      <x:c r="E31" s="96" t="n">
        <x:v>0.42423629374873595</x:v>
      </x:c>
      <x:c r="F31" s="83"/>
      <x:c r="G31" s="83"/>
      <x:c r="H31" s="83"/>
      <x:c r="I31" s="83"/>
      <x:c r="J31" s="83"/>
      <x:c r="K31" s="83"/>
      <x:c r="L31" s="83"/>
      <x:c r="M31" s="98" t="n">
        <x:v>42826</x:v>
      </x:c>
      <x:c r="N31" s="99" t="n">
        <x:v>0.4486094316807739</x:v>
      </x:c>
      <x:c r="O31" s="83"/>
      <x:c r="P31" s="83"/>
      <x:c r="Q31" s="83"/>
      <x:c r="R31" s="83"/>
      <x:c r="S31" s="83"/>
      <x:c r="T31" s="83"/>
      <x:c r="U31" s="83"/>
      <x:c r="V31" s="83"/>
      <x:c r="W31" s="83"/>
      <x:c r="X31" s="83"/>
      <x:c r="Y31" s="83"/>
    </x:row>
    <x:row r="32">
      <x:c r="A32" s="83"/>
      <x:c r="B32" s="83"/>
      <x:c r="C32" s="83"/>
      <x:c r="D32" s="83" t="str">
        <x:v>Jun-16</x:v>
      </x:c>
      <x:c r="E32" s="96" t="n">
        <x:v>0.40077821011673154</x:v>
      </x:c>
      <x:c r="F32" s="83"/>
      <x:c r="G32" s="83"/>
      <x:c r="H32" s="83"/>
      <x:c r="I32" s="83"/>
      <x:c r="J32" s="83"/>
      <x:c r="K32" s="83"/>
      <x:c r="L32" s="83"/>
      <x:c r="M32" s="98" t="n">
        <x:v>42856</x:v>
      </x:c>
      <x:c r="N32" s="99" t="n">
        <x:v>0.4279519022274788</x:v>
      </x:c>
      <x:c r="O32" s="83"/>
      <x:c r="P32" s="83"/>
      <x:c r="Q32" s="83"/>
      <x:c r="R32" s="83"/>
      <x:c r="S32" s="83"/>
      <x:c r="T32" s="83"/>
      <x:c r="U32" s="83"/>
      <x:c r="V32" s="83"/>
      <x:c r="W32" s="83"/>
      <x:c r="X32" s="83"/>
      <x:c r="Y32" s="83"/>
    </x:row>
    <x:row r="33">
      <x:c r="A33" s="83"/>
      <x:c r="B33" s="83"/>
      <x:c r="C33" s="83"/>
      <x:c r="D33" s="83" t="str">
        <x:v>Jul-16</x:v>
      </x:c>
      <x:c r="E33" s="96" t="n">
        <x:v>0.44980965738328993</x:v>
      </x:c>
      <x:c r="F33" s="83"/>
      <x:c r="G33" s="83"/>
      <x:c r="H33" s="83"/>
      <x:c r="I33" s="83"/>
      <x:c r="J33" s="83"/>
      <x:c r="K33" s="83"/>
      <x:c r="L33" s="83"/>
      <x:c r="M33" s="98" t="n">
        <x:v>42887</x:v>
      </x:c>
      <x:c r="N33" s="99" t="n">
        <x:v>0.4436781609195402</x:v>
      </x:c>
      <x:c r="O33" s="83"/>
      <x:c r="P33" s="83"/>
      <x:c r="Q33" s="83"/>
      <x:c r="R33" s="83"/>
      <x:c r="S33" s="83"/>
      <x:c r="T33" s="83"/>
      <x:c r="U33" s="83"/>
      <x:c r="V33" s="83"/>
      <x:c r="W33" s="83"/>
      <x:c r="X33" s="83"/>
      <x:c r="Y33" s="83"/>
    </x:row>
    <x:row r="34">
      <x:c r="A34" s="83"/>
      <x:c r="B34" s="83"/>
      <x:c r="C34" s="83"/>
      <x:c r="D34" s="83" t="str">
        <x:v>Aug-16</x:v>
      </x:c>
      <x:c r="E34" s="96" t="n">
        <x:v>0.42358934169278994</x:v>
      </x:c>
      <x:c r="F34" s="83"/>
      <x:c r="G34" s="83"/>
      <x:c r="H34" s="83"/>
      <x:c r="I34" s="83"/>
      <x:c r="J34" s="83"/>
      <x:c r="K34" s="83"/>
      <x:c r="L34" s="83"/>
      <x:c r="M34" s="98" t="n">
        <x:v>42917</x:v>
      </x:c>
      <x:c r="N34" s="99" t="n">
        <x:v>0.41503461918892187</x:v>
      </x:c>
      <x:c r="O34" s="83"/>
      <x:c r="P34" s="83"/>
      <x:c r="Q34" s="83"/>
      <x:c r="R34" s="83"/>
      <x:c r="S34" s="83"/>
      <x:c r="T34" s="83"/>
      <x:c r="U34" s="83"/>
      <x:c r="V34" s="83"/>
      <x:c r="W34" s="83"/>
      <x:c r="X34" s="83"/>
      <x:c r="Y34" s="83"/>
    </x:row>
    <x:row r="35">
      <x:c r="A35" s="83"/>
      <x:c r="B35" s="83"/>
      <x:c r="C35" s="83"/>
      <x:c r="D35" s="83" t="str">
        <x:v>Sep-16</x:v>
      </x:c>
      <x:c r="E35" s="96" t="n">
        <x:v>0.43203688853247796</x:v>
      </x:c>
      <x:c r="F35" s="83"/>
      <x:c r="G35" s="83"/>
      <x:c r="H35" s="83"/>
      <x:c r="I35" s="83"/>
      <x:c r="J35" s="83"/>
      <x:c r="K35" s="83"/>
      <x:c r="L35" s="83"/>
      <x:c r="M35" s="98" t="n">
        <x:v>42948</x:v>
      </x:c>
      <x:c r="N35" s="99" t="n">
        <x:v>0.42645607107601186</x:v>
      </x:c>
      <x:c r="O35" s="83"/>
      <x:c r="P35" s="83"/>
      <x:c r="Q35" s="83"/>
      <x:c r="R35" s="83"/>
      <x:c r="S35" s="83"/>
      <x:c r="T35" s="83"/>
      <x:c r="U35" s="83"/>
      <x:c r="V35" s="83"/>
      <x:c r="W35" s="83"/>
      <x:c r="X35" s="83"/>
      <x:c r="Y35" s="83"/>
    </x:row>
    <x:row r="36">
      <x:c r="A36" s="83"/>
      <x:c r="B36" s="83"/>
      <x:c r="C36" s="83"/>
      <x:c r="D36" s="83" t="str">
        <x:v>Oct-16</x:v>
      </x:c>
      <x:c r="E36" s="96" t="n">
        <x:v>0.43431839847473785</x:v>
      </x:c>
      <x:c r="F36" s="83"/>
      <x:c r="G36" s="83"/>
      <x:c r="H36" s="83"/>
      <x:c r="I36" s="83"/>
      <x:c r="J36" s="83"/>
      <x:c r="K36" s="83"/>
      <x:c r="L36" s="83"/>
      <x:c r="M36" s="98" t="n">
        <x:v>42979</x:v>
      </x:c>
      <x:c r="N36" s="99" t="n">
        <x:v>0.4211169995923359</x:v>
      </x:c>
      <x:c r="O36" s="83"/>
      <x:c r="P36" s="83"/>
      <x:c r="Q36" s="83"/>
      <x:c r="R36" s="83"/>
      <x:c r="S36" s="83"/>
      <x:c r="T36" s="83"/>
      <x:c r="U36" s="83"/>
      <x:c r="V36" s="83"/>
      <x:c r="W36" s="83"/>
      <x:c r="X36" s="83"/>
      <x:c r="Y36" s="83"/>
    </x:row>
    <x:row r="37">
      <x:c r="A37" s="83"/>
      <x:c r="B37" s="83"/>
      <x:c r="C37" s="83"/>
      <x:c r="D37" s="83" t="str">
        <x:v>Nov-16</x:v>
      </x:c>
      <x:c r="E37" s="96" t="n">
        <x:v>0.4220146222586619</x:v>
      </x:c>
      <x:c r="F37" s="83"/>
      <x:c r="G37" s="83"/>
      <x:c r="H37" s="83"/>
      <x:c r="I37" s="83"/>
      <x:c r="J37" s="83"/>
      <x:c r="K37" s="83"/>
      <x:c r="L37" s="83"/>
      <x:c r="M37" s="98" t="n">
        <x:v>43009</x:v>
      </x:c>
      <x:c r="N37" s="99" t="n">
        <x:v>0.4329244163039177</x:v>
      </x:c>
      <x:c r="O37" s="83"/>
      <x:c r="P37" s="83"/>
      <x:c r="Q37" s="83"/>
      <x:c r="R37" s="83"/>
      <x:c r="S37" s="83"/>
      <x:c r="T37" s="83"/>
      <x:c r="U37" s="83"/>
      <x:c r="V37" s="83"/>
      <x:c r="W37" s="83"/>
      <x:c r="X37" s="83"/>
      <x:c r="Y37" s="83"/>
    </x:row>
    <x:row r="38">
      <x:c r="A38" s="83"/>
      <x:c r="B38" s="83"/>
      <x:c r="C38" s="83"/>
      <x:c r="D38" s="83" t="str">
        <x:v>Dec-16</x:v>
      </x:c>
      <x:c r="E38" s="96" t="n">
        <x:v>0.41520927490666143</x:v>
      </x:c>
      <x:c r="F38" s="83"/>
      <x:c r="G38" s="83"/>
      <x:c r="H38" s="83"/>
      <x:c r="I38" s="83"/>
      <x:c r="J38" s="83"/>
      <x:c r="K38" s="83"/>
      <x:c r="L38" s="83"/>
      <x:c r="M38" s="98" t="n">
        <x:v>43040</x:v>
      </x:c>
      <x:c r="N38" s="99" t="n">
        <x:v>0.42820903094875695</x:v>
      </x:c>
      <x:c r="O38" s="83"/>
      <x:c r="P38" s="83"/>
      <x:c r="Q38" s="83"/>
      <x:c r="R38" s="83"/>
      <x:c r="S38" s="83"/>
      <x:c r="T38" s="83"/>
      <x:c r="U38" s="83"/>
      <x:c r="V38" s="83"/>
      <x:c r="W38" s="83"/>
      <x:c r="X38" s="83"/>
      <x:c r="Y38" s="83"/>
    </x:row>
    <x:row r="39">
      <x:c r="A39" s="83"/>
      <x:c r="B39" s="83"/>
      <x:c r="C39" s="83"/>
      <x:c r="D39" s="83" t="str">
        <x:v>Jan-17</x:v>
      </x:c>
      <x:c r="E39" s="96" t="n">
        <x:v>0.44826900119379226</x:v>
      </x:c>
      <x:c r="F39" s="83"/>
      <x:c r="G39" s="83"/>
      <x:c r="H39" s="83"/>
      <x:c r="I39" s="83"/>
      <x:c r="J39" s="83"/>
      <x:c r="K39" s="83"/>
      <x:c r="L39" s="83"/>
      <x:c r="M39" s="98" t="n">
        <x:v>43070</x:v>
      </x:c>
      <x:c r="N39" s="99" t="n">
        <x:v>0.41517857142857145</x:v>
      </x:c>
      <x:c r="O39" s="83"/>
      <x:c r="P39" s="83"/>
      <x:c r="Q39" s="83"/>
      <x:c r="R39" s="83"/>
      <x:c r="S39" s="83"/>
      <x:c r="T39" s="83"/>
      <x:c r="U39" s="83"/>
      <x:c r="V39" s="83"/>
      <x:c r="W39" s="83"/>
      <x:c r="X39" s="83"/>
      <x:c r="Y39" s="83"/>
    </x:row>
    <x:row r="40">
      <x:c r="A40" s="83"/>
      <x:c r="B40" s="83"/>
      <x:c r="C40" s="83"/>
      <x:c r="D40" s="83" t="str">
        <x:v>Feb-17</x:v>
      </x:c>
      <x:c r="E40" s="96" t="n">
        <x:v>0.426612384829655</x:v>
      </x:c>
      <x:c r="F40" s="83"/>
      <x:c r="G40" s="83"/>
      <x:c r="H40" s="83"/>
      <x:c r="I40" s="83"/>
      <x:c r="J40" s="83"/>
      <x:c r="K40" s="83"/>
      <x:c r="L40" s="83"/>
      <x:c r="M40" s="107" t="n">
        <x:v>43101</x:v>
      </x:c>
      <x:c r="N40" s="105" t="n">
        <x:v>0.4174852652259332</x:v>
      </x:c>
      <x:c r="O40" s="83"/>
      <x:c r="P40" s="83"/>
      <x:c r="Q40" s="83"/>
      <x:c r="R40" s="83"/>
      <x:c r="S40" s="83"/>
      <x:c r="T40" s="83"/>
      <x:c r="U40" s="83"/>
      <x:c r="V40" s="83"/>
      <x:c r="W40" s="83"/>
      <x:c r="X40" s="83"/>
      <x:c r="Y40" s="83"/>
    </x:row>
    <x:row r="41">
      <x:c r="D41" t="str">
        <x:v>Mar-17</x:v>
      </x:c>
      <x:c r="E41" s="56" t="n">
        <x:v>0.41720304271503805</x:v>
      </x:c>
    </x:row>
    <x:row r="42">
      <x:c r="D42" t="str">
        <x:v>Apr-17</x:v>
      </x:c>
      <x:c r="E42" s="56" t="n">
        <x:v>0.4486094316807739</x:v>
      </x:c>
    </x:row>
    <x:row r="43">
      <x:c r="D43" t="str">
        <x:v>May-17</x:v>
      </x:c>
      <x:c r="E43" s="56" t="n">
        <x:v>0.4279519022274788</x:v>
      </x:c>
    </x:row>
    <x:row r="44">
      <x:c r="D44" t="str">
        <x:v>Jun-17</x:v>
      </x:c>
      <x:c r="E44" s="56" t="n">
        <x:v>0.4436781609195402</x:v>
      </x:c>
    </x:row>
    <x:row r="45">
      <x:c r="D45" t="str">
        <x:v>Jul-17</x:v>
      </x:c>
      <x:c r="E45" s="56" t="n">
        <x:v>0.41503461918892187</x:v>
      </x:c>
    </x:row>
    <x:row r="46">
      <x:c r="D46" t="str">
        <x:v>Aug-17</x:v>
      </x:c>
      <x:c r="E46" s="56" t="n">
        <x:v>0.42645607107601186</x:v>
      </x:c>
    </x:row>
    <x:row r="47">
      <x:c r="D47" t="str">
        <x:v>Sep-17</x:v>
      </x:c>
      <x:c r="E47" s="56" t="n">
        <x:v>0.4211169995923359</x:v>
      </x:c>
    </x:row>
    <x:row r="48">
      <x:c r="D48" t="str">
        <x:v>Oct-17</x:v>
      </x:c>
      <x:c r="E48" s="56" t="n">
        <x:v>0.4329244163039177</x:v>
      </x:c>
    </x:row>
    <x:row r="49">
      <x:c r="D49" t="str">
        <x:v>Nov-17</x:v>
      </x:c>
      <x:c r="E49" s="56" t="n">
        <x:v>0.42820903094875695</x:v>
      </x:c>
    </x:row>
    <x:row r="50">
      <x:c r="D50" t="str">
        <x:v>Dec-17</x:v>
      </x:c>
      <x:c r="E50" s="56" t="n">
        <x:v>0.41517857142857145</x:v>
      </x:c>
    </x:row>
    <x:row r="51">
      <x:c r="D51" t="str">
        <x:v>Jan-18</x:v>
      </x:c>
      <x:c r="E51" s="56" t="n">
        <x:v>0.4174852652259332</x:v>
      </x:c>
    </x:row>
  </x:sheetData>
  <x:mergeCells>
    <x:mergeCell ref="A1:H1"/>
    <x:mergeCell ref="A11:H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 ht="28" customHeight="1">
      <x:c r="A1" s="5" t="str">
        <x:v>Supply Chain Delivery Performance Analysis</x:v>
      </x:c>
      <x:c r="B1" s="5"/>
      <x:c r="C1" s="5"/>
      <x:c r="D1" s="5"/>
      <x:c r="E1" s="5"/>
      <x:c r="F1" s="5"/>
      <x:c r="G1" s="5"/>
      <x:c r="H1" s="5"/>
    </x:row>
    <x:row r="3" ht="42" customHeight="1">
      <x:c r="A3" s="181" t="str">
        <x:v>Project Objective</x:v>
      </x:c>
      <x:c r="B3" s="153" t="str">
        <x:v>Analyze historical shipment transactions to identify patterns in delivery performance and evaluate the relationship between shipping mode, shipment volume, category, and on-time delivery.</x:v>
      </x:c>
    </x:row>
    <x:row r="4" ht="42" customHeight="1">
      <x:c r="A4" s="182" t="str">
        <x:v>Business Question</x:v>
      </x:c>
      <x:c r="B4" s="155" t="str">
        <x:v>What factors appear to be associated with late shipment performance, and where should the business focus further investigation?</x:v>
      </x:c>
    </x:row>
    <x:row r="5" ht="30" customHeight="1">
      <x:c r="A5" s="182" t="str">
        <x:v>Data Source</x:v>
      </x:c>
      <x:c r="B5" s="155" t="str">
        <x:v>Historical transactional shipment data.</x:v>
      </x:c>
    </x:row>
    <x:row r="6" ht="30" customHeight="1">
      <x:c r="A6" s="182" t="str">
        <x:v>Tools Used</x:v>
      </x:c>
      <x:c r="B6" s="155" t="str">
        <x:v>Excel, Power Query, PivotTables, PivotCharts.</x:v>
      </x:c>
    </x:row>
    <x:row r="7" ht="30" customHeight="1">
      <x:c r="A7" s="182" t="str">
        <x:v>Data Preparation and Transformation</x:v>
      </x:c>
      <x:c r="B7" s="155" t="str">
        <x:v>Raw transaction data was cleaned and transformed in Power Query. Data types were standardized; eligibility, on-time, late, variance, and monthly fields were created for analysis.</x:v>
      </x:c>
    </x:row>
    <x:row r="8" ht="42" customHeight="1">
      <x:c r="A8" s="182" t="str">
        <x:v>Metric Definitions</x:v>
      </x:c>
      <x:c r="B8" s="155" t="str">
        <x:v>On-Time Rate = On-Time Eligible Shipments ÷ Eligible Shipments. Late Rate = Late Eligible Shipments ÷ Eligible Shipments. Shipping Variance = Actual Shipping Days − Scheduled Shipping Days. Eligibility Rate = Eligible Shipments ÷ Total Transactions.</x:v>
      </x:c>
    </x:row>
    <x:row r="9" ht="42" customHeight="1">
      <x:c r="A9" s="182" t="str">
        <x:v>Key Results</x:v>
      </x:c>
      <x:c r="B9" s="155" t="str">
        <x:v>180,519 total transactions; 172,765 eligible shipments; 42.7% on-time; 57.3% late; +0.57 days average shipping variance.</x:v>
      </x:c>
    </x:row>
    <x:row r="10" ht="42" customHeight="1">
      <x:c r="A10" s="182" t="str">
        <x:v>Shipping Mode</x:v>
      </x:c>
      <x:c r="B10" s="155" t="str">
        <x:v>Standard Class: 60.2% OTD. Second Class: 20.2% OTD. First Class: 0.0% OTD.</x:v>
      </x:c>
    </x:row>
    <x:row r="11" ht="42" customHeight="1">
      <x:c r="A11" s="182" t="str">
        <x:v>Shipping Mode Impact</x:v>
      </x:c>
      <x:c r="B11" s="155" t="str">
        <x:v>Standard Class represented 59.7% of eligible volume and 41.4% of late shipments. First + Second Class represented 34.9% of eligible volume but 54.1% of late shipments.</x:v>
      </x:c>
    </x:row>
    <x:row r="12" ht="42" customHeight="1">
      <x:c r="A12" s="182" t="str">
        <x:v>Persistent Performance Gap</x:v>
      </x:c>
      <x:c r="B12" s="155" t="str">
        <x:v>The shipping-mode gap persisted across the observed 2015–2018 period, with Second Class near 20% OTD versus Standard Class near 60%.</x:v>
      </x:c>
    </x:row>
    <x:row r="13" ht="42" customHeight="1">
      <x:c r="A13" s="182" t="str">
        <x:v>High-Volume Categories</x:v>
      </x:c>
      <x:c r="B13" s="155" t="str">
        <x:v>The top six categories represented about 66.4% of late shipments, while their late rates remained clustered around the overall late rate. This suggests category concentration is primarily volume-driven rather than a sharply different category performance pattern.</x:v>
      </x:c>
    </x:row>
    <x:row r="14" ht="42" customHeight="1">
      <x:c r="A14" s="182" t="str">
        <x:v>Interpretation</x:v>
      </x:c>
      <x:c r="B14" s="155" t="str">
        <x:v>Shipping mode is strongly associated with observed delivery performance in this dataset. The analysis identifies where further investigation should focus; it does not establish causation.</x:v>
      </x:c>
    </x:row>
    <x:row r="15" ht="42" customHeight="1">
      <x:c r="A15" s="183" t="str">
        <x:v>Portfolio Data Note</x:v>
      </x:c>
      <x:c r="B15" s="157" t="str">
        <x:v>The public portfolio copy intentionally excludes the transaction-level source table and proprietary/raw records. The workbook preserves the analytical outputs and documentation needed to evaluate the project.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5" t="str">
        <x:v>Supporting Analysis</x:v>
      </x:c>
      <x:c r="B1" s="5"/>
      <x:c r="C1" s="5"/>
      <x:c r="D1" s="5"/>
      <x:c r="E1" s="5"/>
      <x:c r="F1" s="5"/>
      <x:c r="G1" s="5"/>
      <x:c r="H1" s="5"/>
    </x:row>
    <x:row r="3">
      <x:c r="A3" s="13" t="str">
        <x:v>Shipping Mode</x:v>
      </x:c>
      <x:c r="B3" s="13" t="str">
        <x:v>Eligible</x:v>
      </x:c>
      <x:c r="C3" s="13" t="str">
        <x:v>Volume Share</x:v>
      </x:c>
      <x:c r="D3" s="13" t="str">
        <x:v>OTD</x:v>
      </x:c>
      <x:c r="E3" s="13" t="str">
        <x:v>Late Rate</x:v>
      </x:c>
      <x:c r="F3" s="13" t="str">
        <x:v>Late Shipments</x:v>
      </x:c>
      <x:c r="G3" s="13" t="str">
        <x:v>Late Contribution</x:v>
      </x:c>
      <x:c r="H3" s="13" t="str">
        <x:v>Avg Variance</x:v>
      </x:c>
    </x:row>
    <x:row r="4">
      <x:c r="A4" s="18" t="str">
        <x:v>First Class</x:v>
      </x:c>
      <x:c r="B4" s="49" t="n">
        <x:v>26513</x:v>
      </x:c>
      <x:c r="C4" s="55" t="n">
        <x:v>0.15346279628396955</x:v>
      </x:c>
      <x:c r="D4" s="55" t="n">
        <x:v>0</x:v>
      </x:c>
      <x:c r="E4" s="55" t="n">
        <x:v>1</x:v>
      </x:c>
      <x:c r="F4" s="49" t="n">
        <x:v>26513</x:v>
      </x:c>
      <x:c r="G4" s="55" t="n">
        <x:v>0.2678703133051113</x:v>
      </x:c>
      <x:c r="H4" s="61" t="n">
        <x:v>1</x:v>
      </x:c>
    </x:row>
    <x:row r="5">
      <x:c r="A5" s="20" t="str">
        <x:v>Same Day</x:v>
      </x:c>
      <x:c r="B5" s="50" t="n">
        <x:v>9293</x:v>
      </x:c>
      <x:c r="C5" s="56" t="n">
        <x:v>0.0537898301160536</x:v>
      </x:c>
      <x:c r="D5" s="56" t="n">
        <x:v>0.5207145163025934</x:v>
      </x:c>
      <x:c r="E5" s="56" t="n">
        <x:v>0.47928548369740664</x:v>
      </x:c>
      <x:c r="F5" s="50" t="n">
        <x:v>4454</x:v>
      </x:c>
      <x:c r="G5" s="56" t="n">
        <x:v>0.0450003536175071</x:v>
      </x:c>
      <x:c r="H5" s="62" t="n">
        <x:v>0.48</x:v>
      </x:c>
    </x:row>
    <x:row r="6">
      <x:c r="A6" s="20" t="str">
        <x:v>Second Class</x:v>
      </x:c>
      <x:c r="B6" s="50" t="n">
        <x:v>33806</x:v>
      </x:c>
      <x:c r="C6" s="56" t="n">
        <x:v>0.19567620756518972</x:v>
      </x:c>
      <x:c r="D6" s="56" t="n">
        <x:v>0.20170975566467492</x:v>
      </x:c>
      <x:c r="E6" s="56" t="n">
        <x:v>0.7982902443353251</x:v>
      </x:c>
      <x:c r="F6" s="50" t="n">
        <x:v>26987</x:v>
      </x:c>
      <x:c r="G6" s="56" t="n">
        <x:v>0.2726593046869475</x:v>
      </x:c>
      <x:c r="H6" s="62" t="n">
        <x:v>1.99</x:v>
      </x:c>
    </x:row>
    <x:row r="7">
      <x:c r="A7" s="22" t="str">
        <x:v>Standard Class</x:v>
      </x:c>
      <x:c r="B7" s="51" t="n">
        <x:v>103153</x:v>
      </x:c>
      <x:c r="C7" s="57" t="n">
        <x:v>0.5970711660347872</x:v>
      </x:c>
      <x:c r="D7" s="57" t="n">
        <x:v>0.6023091912014192</x:v>
      </x:c>
      <x:c r="E7" s="57" t="n">
        <x:v>0.39769080879858076</x:v>
      </x:c>
      <x:c r="F7" s="51" t="n">
        <x:v>41023</x:v>
      </x:c>
      <x:c r="G7" s="57" t="n">
        <x:v>0.4144700283904341</x:v>
      </x:c>
      <x:c r="H7" s="38" t="n">
        <x:v>-0.01</x:v>
      </x:c>
    </x:row>
    <x:row r="10">
      <x:c r="A10" s="13" t="str">
        <x:v>Year</x:v>
      </x:c>
      <x:c r="B10" s="13" t="str">
        <x:v>First Class</x:v>
      </x:c>
      <x:c r="C10" s="13" t="str">
        <x:v>Same Day</x:v>
      </x:c>
      <x:c r="D10" s="13" t="str">
        <x:v>Second Class</x:v>
      </x:c>
      <x:c r="E10" s="13" t="str">
        <x:v>Standard Class</x:v>
      </x:c>
      <x:c r="F10" s="13" t="str">
        <x:v>Overall</x:v>
      </x:c>
    </x:row>
    <x:row r="11">
      <x:c r="A11" s="18" t="str">
        <x:v>2015</x:v>
      </x:c>
      <x:c r="B11" s="55" t="n">
        <x:v>0</x:v>
      </x:c>
      <x:c r="C11" s="55" t="n">
        <x:v>0.5294492199936326</x:v>
      </x:c>
      <x:c r="D11" s="55" t="n">
        <x:v>0.19837986901068597</x:v>
      </x:c>
      <x:c r="E11" s="55" t="n">
        <x:v>0.6052601841911972</x:v>
      </x:c>
      <x:c r="F11" s="68" t="n">
        <x:v>0.42794539046019014</x:v>
      </x:c>
    </x:row>
    <x:row r="12">
      <x:c r="A12" s="20" t="str">
        <x:v>2016</x:v>
      </x:c>
      <x:c r="B12" s="56" t="n">
        <x:v>0</x:v>
      </x:c>
      <x:c r="C12" s="56" t="n">
        <x:v>0.5521752357773045</x:v>
      </x:c>
      <x:c r="D12" s="56" t="n">
        <x:v>0.20166993269148845</x:v>
      </x:c>
      <x:c r="E12" s="56" t="n">
        <x:v>0.5982406340462606</x:v>
      </x:c>
      <x:c r="F12" s="36" t="n">
        <x:v>0.4245940448801307</x:v>
      </x:c>
    </x:row>
    <x:row r="13">
      <x:c r="A13" s="20" t="str">
        <x:v>2017</x:v>
      </x:c>
      <x:c r="B13" s="56" t="n">
        <x:v>0</x:v>
      </x:c>
      <x:c r="C13" s="56" t="n">
        <x:v>0.4720203488372093</x:v>
      </x:c>
      <x:c r="D13" s="56" t="n">
        <x:v>0.20662729001902091</x:v>
      </x:c>
      <x:c r="E13" s="56" t="n">
        <x:v>0.6046911497534389</x:v>
      </x:c>
      <x:c r="F13" s="36" t="n">
        <x:v>0.42989449003517</x:v>
      </x:c>
    </x:row>
    <x:row r="14">
      <x:c r="A14" s="20" t="str">
        <x:v>2018 (partial)</x:v>
      </x:c>
      <x:c r="B14" s="56" t="n">
        <x:v>0</x:v>
      </x:c>
      <x:c r="C14" s="56" t="n">
        <x:v>0.5486725663716814</x:v>
      </x:c>
      <x:c r="D14" s="56" t="n">
        <x:v>0.18067226890756302</x:v>
      </x:c>
      <x:c r="E14" s="56" t="n">
        <x:v>0.5777777777777777</x:v>
      </x:c>
      <x:c r="F14" s="36" t="n">
        <x:v>0.4082710074791025</x:v>
      </x:c>
    </x:row>
    <x:row r="15">
      <x:c r="A15" s="22" t="str">
        <x:v>Total</x:v>
      </x:c>
      <x:c r="B15" s="57" t="n">
        <x:v>0</x:v>
      </x:c>
      <x:c r="C15" s="57" t="n">
        <x:v>0.5207145163025934</x:v>
      </x:c>
      <x:c r="D15" s="57" t="n">
        <x:v>0.20170975566467492</x:v>
      </x:c>
      <x:c r="E15" s="57" t="n">
        <x:v>0.6023091912014192</x:v>
      </x:c>
      <x:c r="F15" s="71" t="n">
        <x:v>0.4271003964923451</x:v>
      </x:c>
    </x:row>
    <x:row r="18">
      <x:c r="A18" s="13" t="str">
        <x:v>High-Volume Category</x:v>
      </x:c>
      <x:c r="B18" s="13" t="str">
        <x:v>Eligible Shipments</x:v>
      </x:c>
      <x:c r="C18" s="13" t="str">
        <x:v>On-Time Rate</x:v>
      </x:c>
      <x:c r="D18" s="13" t="str">
        <x:v>Late Rate</x:v>
      </x:c>
      <x:c r="E18" s="13" t="str">
        <x:v>Late Shipments</x:v>
      </x:c>
      <x:c r="F18" s="13" t="str">
        <x:v>Late Contribution</x:v>
      </x:c>
    </x:row>
    <x:row r="19">
      <x:c r="A19" s="18" t="str">
        <x:v>Cleats</x:v>
      </x:c>
      <x:c r="B19" s="49" t="n">
        <x:v>23514</x:v>
      </x:c>
      <x:c r="C19" s="55" t="n">
        <x:v>0.42604405885855234</x:v>
      </x:c>
      <x:c r="D19" s="55" t="n">
        <x:v>0.5739559411414477</x:v>
      </x:c>
      <x:c r="E19" s="49" t="n">
        <x:v>13496</x:v>
      </x:c>
      <x:c r="F19" s="68" t="n">
        <x:v>0.13635491073683786</x:v>
      </x:c>
    </x:row>
    <x:row r="20">
      <x:c r="A20" s="20" t="str">
        <x:v>Men's Footwear</x:v>
      </x:c>
      <x:c r="B20" s="50" t="n">
        <x:v>21263</x:v>
      </x:c>
      <x:c r="C20" s="56" t="n">
        <x:v>0.42994873724309834</x:v>
      </x:c>
      <x:c r="D20" s="56" t="n">
        <x:v>0.5700512627569017</x:v>
      </x:c>
      <x:c r="E20" s="50" t="n">
        <x:v>12121</x:v>
      </x:c>
      <x:c r="F20" s="36" t="n">
        <x:v>0.12246279438657466</x:v>
      </x:c>
    </x:row>
    <x:row r="21">
      <x:c r="A21" s="20" t="str">
        <x:v>Women's Apparel</x:v>
      </x:c>
      <x:c r="B21" s="50" t="n">
        <x:v>20116</x:v>
      </x:c>
      <x:c r="C21" s="56" t="n">
        <x:v>0.42950884867766953</x:v>
      </x:c>
      <x:c r="D21" s="56" t="n">
        <x:v>0.5704911513223305</x:v>
      </x:c>
      <x:c r="E21" s="50" t="n">
        <x:v>11476</x:v>
      </x:c>
      <x:c r="F21" s="36" t="n">
        <x:v>0.11594612889863301</x:v>
      </x:c>
    </x:row>
    <x:row r="22">
      <x:c r="A22" s="20" t="str">
        <x:v>Indoor/Outdoor Games</x:v>
      </x:c>
      <x:c r="B22" s="50" t="n">
        <x:v>18470</x:v>
      </x:c>
      <x:c r="C22" s="56" t="n">
        <x:v>0.4279913373037358</x:v>
      </x:c>
      <x:c r="D22" s="56" t="n">
        <x:v>0.5720086626962642</x:v>
      </x:c>
      <x:c r="E22" s="50" t="n">
        <x:v>10565</x:v>
      </x:c>
      <x:c r="F22" s="36" t="n">
        <x:v>0.10674197035674955</x:v>
      </x:c>
    </x:row>
    <x:row r="23">
      <x:c r="A23" s="20" t="str">
        <x:v>Fishing</x:v>
      </x:c>
      <x:c r="B23" s="50" t="n">
        <x:v>16595</x:v>
      </x:c>
      <x:c r="C23" s="56" t="n">
        <x:v>0.42657426935824044</x:v>
      </x:c>
      <x:c r="D23" s="56" t="n">
        <x:v>0.5734257306417596</x:v>
      </x:c>
      <x:c r="E23" s="50" t="n">
        <x:v>9516</x:v>
      </x:c>
      <x:c r="F23" s="36" t="n">
        <x:v>0.09614354850116694</x:v>
      </x:c>
    </x:row>
    <x:row r="24">
      <x:c r="A24" s="20" t="str">
        <x:v>Water Sports</x:v>
      </x:c>
      <x:c r="B24" s="50" t="n">
        <x:v>14880</x:v>
      </x:c>
      <x:c r="C24" s="56" t="n">
        <x:v>0.4276209677419355</x:v>
      </x:c>
      <x:c r="D24" s="56" t="n">
        <x:v>0.5723790322580645</x:v>
      </x:c>
      <x:c r="E24" s="50" t="n">
        <x:v>8517</x:v>
      </x:c>
      <x:c r="F24" s="36" t="n">
        <x:v>0.08605029451286662</x:v>
      </x:c>
    </x:row>
    <x:row r="25">
      <x:c r="A25" s="20" t="str">
        <x:v>Camping &amp; Hiking</x:v>
      </x:c>
      <x:c r="B25" s="50" t="n">
        <x:v>13157</x:v>
      </x:c>
      <x:c r="C25" s="56" t="n">
        <x:v>0.4309493045527096</x:v>
      </x:c>
      <x:c r="D25" s="56" t="n">
        <x:v>0.5690506954472905</x:v>
      </x:c>
      <x:c r="E25" s="50" t="n">
        <x:v>7487</x:v>
      </x:c>
      <x:c r="F25" s="36" t="n">
        <x:v>0.07564383644685128</x:v>
      </x:c>
    </x:row>
    <x:row r="26">
      <x:c r="A26" s="20" t="str">
        <x:v>Cardio Equipment</x:v>
      </x:c>
      <x:c r="B26" s="50" t="n">
        <x:v>11948</x:v>
      </x:c>
      <x:c r="C26" s="56" t="n">
        <x:v>0.43044861064613327</x:v>
      </x:c>
      <x:c r="D26" s="56" t="n">
        <x:v>0.5695513893538667</x:v>
      </x:c>
      <x:c r="E26" s="50" t="n">
        <x:v>6805</x:v>
      </x:c>
      <x:c r="F26" s="36" t="n">
        <x:v>0.06875334673712075</x:v>
      </x:c>
    </x:row>
    <x:row r="27">
      <x:c r="A27" s="20" t="str">
        <x:v>Shop By Sport</x:v>
      </x:c>
      <x:c r="B27" s="50" t="n">
        <x:v>10515</x:v>
      </x:c>
      <x:c r="C27" s="56" t="n">
        <x:v>0.42387066096053255</x:v>
      </x:c>
      <x:c r="D27" s="56" t="n">
        <x:v>0.5761293390394675</x:v>
      </x:c>
      <x:c r="E27" s="50" t="n">
        <x:v>6058</x:v>
      </x:c>
      <x:c r="F27" s="36" t="n">
        <x:v>0.06120613879992321</x:v>
      </x:c>
    </x:row>
    <x:row r="28">
      <x:c r="A28" s="22" t="str">
        <x:v>Electronics</x:v>
      </x:c>
      <x:c r="B28" s="51" t="n">
        <x:v>3024</x:v>
      </x:c>
      <x:c r="C28" s="57" t="n">
        <x:v>0.4146825396825397</x:v>
      </x:c>
      <x:c r="D28" s="57" t="n">
        <x:v>0.5853174603174602</x:v>
      </x:c>
      <x:c r="E28" s="51" t="n">
        <x:v>1770</x:v>
      </x:c>
      <x:c r="F28" s="71" t="n">
        <x:v>0.017882942501793345</x:v>
      </x:c>
    </x:row>
    <x:row r="31">
      <x:c r="A31" s="136" t="str">
        <x:v>Key analytical interpretation</x:v>
      </x:c>
      <x:c r="B31" s="136"/>
      <x:c r="C31" s="136"/>
      <x:c r="D31" s="136"/>
      <x:c r="E31" s="136"/>
      <x:c r="F31" s="136"/>
    </x:row>
    <x:row r="32">
      <x:c r="A32" s="152" t="str">
        <x:v>Shipping Mode</x:v>
      </x:c>
      <x:c r="B32" s="153" t="str">
        <x:v>Standard Class had the strongest meaningful OTD rate (60.2%), while Second Class had the weakest (20.2%).</x:v>
      </x:c>
    </x:row>
    <x:row r="33">
      <x:c r="A33" s="154" t="str">
        <x:v>Shipping Mode Impact</x:v>
      </x:c>
      <x:c r="B33" s="155" t="str">
        <x:v>First + Second Class represented 34.9% of eligible volume but 54.1% of late shipments.</x:v>
      </x:c>
    </x:row>
    <x:row r="34">
      <x:c r="A34" s="154" t="str">
        <x:v>Persistent Gap</x:v>
      </x:c>
      <x:c r="B34" s="155" t="str">
        <x:v>The mode gap remained visible across 2015–2018; Second Class stayed near 20% OTD while Standard stayed near 60%.</x:v>
      </x:c>
    </x:row>
    <x:row r="35">
      <x:c r="A35" s="156" t="str">
        <x:v>Category Concentration</x:v>
      </x:c>
      <x:c r="B35" s="157" t="str">
        <x:v>The top six categories accounted for 66.4% of late shipments, but their late rates stayed clustered near the overall 57.3% rate.</x:v>
      </x:c>
    </x:row>
  </x:sheetData>
  <x:mergeCells>
    <x:mergeCell ref="A1:H1"/>
    <x:mergeCell ref="A31:F31"/>
  </x:mergeCells>
  <x:pageMargins left="0.7" right="0.7" top="0.75" bottom="0.75" header="0.3" footer="0.3"/>
</x:worksheet>
</file>